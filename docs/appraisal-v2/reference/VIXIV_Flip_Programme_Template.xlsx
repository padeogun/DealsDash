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Pipeline" sheetId="2" state="visible" r:id="rId4"/>
    <sheet name="DD Checklist" sheetId="3" state="visible" r:id="rId5"/>
    <sheet name="Deal 1" sheetId="4" state="visible" r:id="rId6"/>
    <sheet name="Deal 2" sheetId="5" state="visible" r:id="rId7"/>
    <sheet name="Holiday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Usually 28 days from the auction — check the special conditions in the legal pack.</t>
        </r>
      </text>
    </comment>
    <comment ref="C10" authorId="0">
      <text>
        <r>
          <rPr>
            <sz val="10"/>
            <rFont val="Arial"/>
            <family val="2"/>
          </rPr>
          <t xml:space="preserve">Illustrative default. Adds slack to every construction activity marked Contingency = Y.</t>
        </r>
      </text>
    </comment>
    <comment ref="C12" authorId="0">
      <text>
        <r>
          <rPr>
            <sz val="10"/>
            <rFont val="Arial"/>
            <family val="2"/>
          </rPr>
          <t xml:space="preserve">Illustrative: about 6 weeks. Lengthen if listing in a slow month or stock is high.</t>
        </r>
      </text>
    </comment>
    <comment ref="C13" authorId="0">
      <text>
        <r>
          <rPr>
            <sz val="10"/>
            <rFont val="Arial"/>
            <family val="2"/>
          </rPr>
          <t xml:space="preserve">From your bridging offer. Compared with months owned in Key Dates.</t>
        </r>
      </text>
    </comment>
    <comment ref="F5" authorId="0">
      <text>
        <r>
          <rPr>
            <sz val="10"/>
            <rFont val="Arial"/>
            <family val="2"/>
          </rPr>
          <t xml:space="preserve">Built before 2000 → asbestos refurbishment survey before strip-out</t>
        </r>
      </text>
    </comment>
    <comment ref="F6" authorId="0">
      <text>
        <r>
          <rPr>
            <sz val="10"/>
            <rFont val="Arial"/>
            <family val="2"/>
          </rPr>
          <t xml:space="preserve">Wall removal / lintels / beams → engineer + Building Control</t>
        </r>
      </text>
    </comment>
    <comment ref="F7" authorId="0">
      <text>
        <r>
          <rPr>
            <sz val="10"/>
            <rFont val="Arial"/>
            <family val="2"/>
          </rPr>
          <t xml:space="preserve">Damp-proofing or timber treatment needed</t>
        </r>
      </text>
    </comment>
    <comment ref="F8" authorId="0">
      <text>
        <r>
          <rPr>
            <sz val="10"/>
            <rFont val="Arial"/>
            <family val="2"/>
          </rPr>
          <t xml:space="preserve">Roof, gutters, pointing, render (weather-dependent)</t>
        </r>
      </text>
    </comment>
    <comment ref="F9" authorId="0">
      <text>
        <r>
          <rPr>
            <sz val="10"/>
            <rFont val="Arial"/>
            <family val="2"/>
          </rPr>
          <t xml:space="preserve">Replacement windows / external doors (long lead, FENSA cert)</t>
        </r>
      </text>
    </comment>
    <comment ref="F10" authorId="0">
      <text>
        <r>
          <rPr>
            <sz val="10"/>
            <rFont val="Arial"/>
            <family val="2"/>
          </rPr>
          <t xml:space="preserve">Full or partial rewire (EIC certificate)</t>
        </r>
      </text>
    </comment>
    <comment ref="F11" authorId="0">
      <text>
        <r>
          <rPr>
            <sz val="10"/>
            <rFont val="Arial"/>
            <family val="2"/>
          </rPr>
          <t xml:space="preserve">Heating / boiler work (Gas Safe + Building Regs notice)</t>
        </r>
      </text>
    </comment>
    <comment ref="F12" authorId="0">
      <text>
        <r>
          <rPr>
            <sz val="10"/>
            <rFont val="Arial"/>
            <family val="2"/>
          </rPr>
          <t xml:space="preserve">New kitchen</t>
        </r>
      </text>
    </comment>
    <comment ref="F13" authorId="0">
      <text>
        <r>
          <rPr>
            <sz val="10"/>
            <rFont val="Arial"/>
            <family val="2"/>
          </rPr>
          <t xml:space="preserve">New bathroom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Usually 28 days from the auction — check the special conditions in the legal pack.</t>
        </r>
      </text>
    </comment>
    <comment ref="C10" authorId="0">
      <text>
        <r>
          <rPr>
            <sz val="10"/>
            <rFont val="Arial"/>
            <family val="2"/>
          </rPr>
          <t xml:space="preserve">Illustrative default. Adds slack to every construction activity marked Contingency = Y.</t>
        </r>
      </text>
    </comment>
    <comment ref="C12" authorId="0">
      <text>
        <r>
          <rPr>
            <sz val="10"/>
            <rFont val="Arial"/>
            <family val="2"/>
          </rPr>
          <t xml:space="preserve">Illustrative: about 6 weeks. Lengthen if listing in a slow month or stock is high.</t>
        </r>
      </text>
    </comment>
    <comment ref="C13" authorId="0">
      <text>
        <r>
          <rPr>
            <sz val="10"/>
            <rFont val="Arial"/>
            <family val="2"/>
          </rPr>
          <t xml:space="preserve">From your bridging offer. Compared with months owned in Key Dates.</t>
        </r>
      </text>
    </comment>
    <comment ref="F5" authorId="0">
      <text>
        <r>
          <rPr>
            <sz val="10"/>
            <rFont val="Arial"/>
            <family val="2"/>
          </rPr>
          <t xml:space="preserve">Built before 2000 → asbestos refurbishment survey before strip-out</t>
        </r>
      </text>
    </comment>
    <comment ref="F6" authorId="0">
      <text>
        <r>
          <rPr>
            <sz val="10"/>
            <rFont val="Arial"/>
            <family val="2"/>
          </rPr>
          <t xml:space="preserve">Wall removal / lintels / beams → engineer + Building Control</t>
        </r>
      </text>
    </comment>
    <comment ref="F7" authorId="0">
      <text>
        <r>
          <rPr>
            <sz val="10"/>
            <rFont val="Arial"/>
            <family val="2"/>
          </rPr>
          <t xml:space="preserve">Damp-proofing or timber treatment needed</t>
        </r>
      </text>
    </comment>
    <comment ref="F8" authorId="0">
      <text>
        <r>
          <rPr>
            <sz val="10"/>
            <rFont val="Arial"/>
            <family val="2"/>
          </rPr>
          <t xml:space="preserve">Roof, gutters, pointing, render (weather-dependent)</t>
        </r>
      </text>
    </comment>
    <comment ref="F9" authorId="0">
      <text>
        <r>
          <rPr>
            <sz val="10"/>
            <rFont val="Arial"/>
            <family val="2"/>
          </rPr>
          <t xml:space="preserve">Replacement windows / external doors (long lead, FENSA cert)</t>
        </r>
      </text>
    </comment>
    <comment ref="F10" authorId="0">
      <text>
        <r>
          <rPr>
            <sz val="10"/>
            <rFont val="Arial"/>
            <family val="2"/>
          </rPr>
          <t xml:space="preserve">Full or partial rewire (EIC certificate)</t>
        </r>
      </text>
    </comment>
    <comment ref="F11" authorId="0">
      <text>
        <r>
          <rPr>
            <sz val="10"/>
            <rFont val="Arial"/>
            <family val="2"/>
          </rPr>
          <t xml:space="preserve">Heating / boiler work (Gas Safe + Building Regs notice)</t>
        </r>
      </text>
    </comment>
    <comment ref="F12" authorId="0">
      <text>
        <r>
          <rPr>
            <sz val="10"/>
            <rFont val="Arial"/>
            <family val="2"/>
          </rPr>
          <t xml:space="preserve">New kitchen</t>
        </r>
      </text>
    </comment>
    <comment ref="F13" authorId="0">
      <text>
        <r>
          <rPr>
            <sz val="10"/>
            <rFont val="Arial"/>
            <family val="2"/>
          </rPr>
          <t xml:space="preserve">New bathroom</t>
        </r>
      </text>
    </comment>
  </commentList>
</comments>
</file>

<file path=xl/sharedStrings.xml><?xml version="1.0" encoding="utf-8"?>
<sst xmlns="http://schemas.openxmlformats.org/spreadsheetml/2006/main" count="1284" uniqueCount="397">
  <si>
    <t xml:space="preserve">VIXIV LTD — Generic flip programme (deal secured → sale completed)</t>
  </si>
  <si>
    <t xml:space="preserve">HOW TO USE</t>
  </si>
  <si>
    <t xml:space="preserve">1. Open a Deal tab. Fill the yellow cells: deal name, route (Auction / Estate agent), deal secured date, contractor.</t>
  </si>
  <si>
    <t xml:space="preserve">2. Set the scope switches (Y/N). Activities switched off grey out and take no time; their successors close up automatically.</t>
  </si>
  <si>
    <t xml:space="preserve">3. Replace the default durations (yellow, working days) with your builder's programme once you have it.</t>
  </si>
  <si>
    <t xml:space="preserve">4. Read the Flags column and Key Dates. Hold points (yellow rows) are go/no-go decisions — do not pass them without a decision.</t>
  </si>
  <si>
    <t xml:space="preserve">5. The Pipeline tab compares Deal 1 and Deal 2 and flags if both builds need the crew at the same time.</t>
  </si>
  <si>
    <t xml:space="preserve">6. Update Status as work progresses. To start a new deal, copy a Deal tab (right-click → Move or Copy → Create a copy).</t>
  </si>
  <si>
    <t xml:space="preserve">SCHEDULING LOGIC</t>
  </si>
  <si>
    <t xml:space="preserve">• All durations are WORKING days (Mon–Fri) and skip every date on the Holidays tab.</t>
  </si>
  <si>
    <t xml:space="preserve">• FS = finish-to-start: starts the working day after the predecessor finishes, plus any lag.</t>
  </si>
  <si>
    <t xml:space="preserve">• SS = start-to-start: starts with the predecessor, plus the lag in working days.</t>
  </si>
  <si>
    <t xml:space="preserve">• Construction activities (Contingency = Y) are lengthened by the contingency % in C10, rounded up.</t>
  </si>
  <si>
    <t xml:space="preserve">• Plaster drying gets extra days automatically when it starts between November and February (C11).</t>
  </si>
  <si>
    <t xml:space="preserve">• Auction completion = deal date + 28 calendar days (C8), moved to the next working day if needed.</t>
  </si>
  <si>
    <t xml:space="preserve">• Construction sequence: strip-out → opening-up hold → structure / damp / roof / windows → first fix (electrics, plumbing, joinery in parallel) → first-fix check → plaster → drying → mist coat → kitchen + bathroom → second fix → decoration → flooring → snag → practical completion.</t>
  </si>
  <si>
    <t xml:space="preserve">ASSUMPTIONS (illustrative — verify)</t>
  </si>
  <si>
    <t xml:space="preserve">• Default durations suit a 2–3 bed terrace cosmetic-plus refurb (about 9–11 weeks on site). Replace with your builder's figures.</t>
  </si>
  <si>
    <t xml:space="preserve">• Sale agreed in about 6 weeks after listing; sale agreed → completion about 12–14 weeks. Market dependent.</t>
  </si>
  <si>
    <t xml:space="preserve">• Bank holidays for England &amp; Wales are computed by formula for 2026–2028 — verify at gov.uk/bank-holidays.</t>
  </si>
  <si>
    <t xml:space="preserve">• Asbestos survey, EPC before marketing, CIS, and certificate requirements: confirm with your solicitor, accountant and contractor.</t>
  </si>
  <si>
    <t xml:space="preserve">COLOUR CODE</t>
  </si>
  <si>
    <t xml:space="preserve">Yellow cell + blue text = input you edit.  Black = formula.  Green text = link from another tab.  Red text = flag.</t>
  </si>
  <si>
    <t xml:space="preserve">Pipeline — two overlapping flips</t>
  </si>
  <si>
    <t xml:space="preserve">Pulls key dates from Deal 1 and Deal 2. The crew check flags if both builds run at once. To add Deal 3: copy a deal tab and add a column here.</t>
  </si>
  <si>
    <t xml:space="preserve">Deal 1</t>
  </si>
  <si>
    <t xml:space="preserve">Deal 2</t>
  </si>
  <si>
    <t xml:space="preserve">Deal</t>
  </si>
  <si>
    <t xml:space="preserve">Route</t>
  </si>
  <si>
    <t xml:space="preserve">Lead contractor</t>
  </si>
  <si>
    <t xml:space="preserve">Deal secured</t>
  </si>
  <si>
    <t xml:space="preserve">Purchase completion</t>
  </si>
  <si>
    <t xml:space="preserve">Works start</t>
  </si>
  <si>
    <t xml:space="preserve">Practical completion</t>
  </si>
  <si>
    <t xml:space="preserve">Listed</t>
  </si>
  <si>
    <t xml:space="preserve">Sale completed</t>
  </si>
  <si>
    <t xml:space="preserve">Months owned</t>
  </si>
  <si>
    <t xml:space="preserve">Bridge headroom (months)</t>
  </si>
  <si>
    <t xml:space="preserve">Crew clash check</t>
  </si>
  <si>
    <t xml:space="preserve">Capital overlap (both owned at once, days)</t>
  </si>
  <si>
    <t xml:space="preserve">Days both purchases are funded at the same time — check against the £50k pool.</t>
  </si>
  <si>
    <t xml:space="preserve">Phase timeline (weekly)</t>
  </si>
  <si>
    <t xml:space="preserve">Start</t>
  </si>
  <si>
    <t xml:space="preserve">End</t>
  </si>
  <si>
    <t xml:space="preserve">Deal 1 — Legal</t>
  </si>
  <si>
    <t xml:space="preserve">Deal 1 — Build</t>
  </si>
  <si>
    <t xml:space="preserve">Deal 1 — Sale</t>
  </si>
  <si>
    <t xml:space="preserve">Deal 2 — Legal</t>
  </si>
  <si>
    <t xml:space="preserve">Deal 2 — Build</t>
  </si>
  <si>
    <t xml:space="preserve">Deal 2 — Sale</t>
  </si>
  <si>
    <t xml:space="preserve">Default due-diligence checklist</t>
  </si>
  <si>
    <t xml:space="preserve">Stage 1 is done BEFORE bidding (auction) or before the offer is final (agent). Programme ID links each later check to its activity.</t>
  </si>
  <si>
    <t xml:space="preserve">#</t>
  </si>
  <si>
    <t xml:space="preserve">Stage</t>
  </si>
  <si>
    <t xml:space="preserve">Check</t>
  </si>
  <si>
    <t xml:space="preserve">Why it matters / what good looks like</t>
  </si>
  <si>
    <t xml:space="preserve">Programme ID</t>
  </si>
  <si>
    <t xml:space="preserve">Done (Y/N)</t>
  </si>
  <si>
    <t xml:space="preserve">Notes</t>
  </si>
  <si>
    <t xml:space="preserve">1 Before bid / offer</t>
  </si>
  <si>
    <t xml:space="preserve">Read the full legal pack with your solicitor</t>
  </si>
  <si>
    <t xml:space="preserve">Title, searches, special conditions, completion period, extra fees the buyer pays.</t>
  </si>
  <si>
    <t xml:space="preserve">A7</t>
  </si>
  <si>
    <t xml:space="preserve">Check special conditions for hidden costs</t>
  </si>
  <si>
    <t xml:space="preserve">Seller's legal fees, search fees, arrears, VAT — add all to the appraisal.</t>
  </si>
  <si>
    <t xml:space="preserve">—</t>
  </si>
  <si>
    <t xml:space="preserve">Why is it at auction / why is it cheap?</t>
  </si>
  <si>
    <t xml:space="preserve">Unmortgageable, probate, repossession, structural defect, short lease, sitting tenant.</t>
  </si>
  <si>
    <t xml:space="preserve">View with the builder; photos and video</t>
  </si>
  <si>
    <t xml:space="preserve">Builder's schedule of works and price range before you bid.</t>
  </si>
  <si>
    <t xml:space="preserve">B1</t>
  </si>
  <si>
    <t xml:space="preserve">Three or more sold comparables (same street/type, last 12 months)</t>
  </si>
  <si>
    <t xml:space="preserve">Set the WORST-CASE end value (training rule).</t>
  </si>
  <si>
    <t xml:space="preserve">DealsDash appraisal: max bid incl. SDLT, fees, buyer's premium</t>
  </si>
  <si>
    <t xml:space="preserve">Profit first; stress tests and walk-away tests pass.</t>
  </si>
  <si>
    <t xml:space="preserve">Construction type and end-buyer mortgageability</t>
  </si>
  <si>
    <t xml:space="preserve">Non-standard construction or defects can kill the resale. Your buyer needs a mortgage.</t>
  </si>
  <si>
    <t xml:space="preserve">Mining, flood, knotweed, conservation area, planning history</t>
  </si>
  <si>
    <t xml:space="preserve">Rochdale is a former coalfield: check the Coal Authority report.</t>
  </si>
  <si>
    <t xml:space="preserve">Tenure and occupancy</t>
  </si>
  <si>
    <t xml:space="preserve">Freehold vs leasehold terms; vacant possession confirmed.</t>
  </si>
  <si>
    <t xml:space="preserve">Bridging decision in principle; lender can complete within 28 days</t>
  </si>
  <si>
    <t xml:space="preserve">No DIP = no bid.</t>
  </si>
  <si>
    <t xml:space="preserve">A5</t>
  </si>
  <si>
    <t xml:space="preserve">Deposit (10%) + fees available on the day; insurance quote ready</t>
  </si>
  <si>
    <t xml:space="preserve">Bind insurance at the hammer.</t>
  </si>
  <si>
    <t xml:space="preserve">A2</t>
  </si>
  <si>
    <t xml:space="preserve">Set the absolute maximum bid and walk away above it</t>
  </si>
  <si>
    <t xml:space="preserve">Write it down before the auction starts.</t>
  </si>
  <si>
    <t xml:space="preserve">2 After deal secured</t>
  </si>
  <si>
    <t xml:space="preserve">Insurance bound; solicitor and lender instructed</t>
  </si>
  <si>
    <t xml:space="preserve">Same day for auction.</t>
  </si>
  <si>
    <t xml:space="preserve">Agent route: searches, survey and title reviewed</t>
  </si>
  <si>
    <t xml:space="preserve">Renegotiate or withdraw at the hold point.</t>
  </si>
  <si>
    <t xml:space="preserve">A9</t>
  </si>
  <si>
    <t xml:space="preserve">Contractor contract signed; insurance seen; CIS verified</t>
  </si>
  <si>
    <t xml:space="preserve">Fixed price by stage, 5% retention.</t>
  </si>
  <si>
    <t xml:space="preserve">B3</t>
  </si>
  <si>
    <t xml:space="preserve">Asbestos survey (pre-2000) before strip-out</t>
  </si>
  <si>
    <t xml:space="preserve">B6</t>
  </si>
  <si>
    <t xml:space="preserve">3 During works</t>
  </si>
  <si>
    <t xml:space="preserve">Opening-up review: costs updated in DealsDash</t>
  </si>
  <si>
    <t xml:space="preserve">Hidden defects found here; re-check profit.</t>
  </si>
  <si>
    <t xml:space="preserve">C2</t>
  </si>
  <si>
    <t xml:space="preserve">First-fix photos before boarding</t>
  </si>
  <si>
    <t xml:space="preserve">Proof for certificates and future buyers.</t>
  </si>
  <si>
    <t xml:space="preserve">D4</t>
  </si>
  <si>
    <t xml:space="preserve">4 Before listing</t>
  </si>
  <si>
    <t xml:space="preserve">All certificates collected (EIC, Gas Safe, FENSA, Building Control, damp guarantee)</t>
  </si>
  <si>
    <t xml:space="preserve">Buyer's solicitor will ask.</t>
  </si>
  <si>
    <t xml:space="preserve">G1</t>
  </si>
  <si>
    <t xml:space="preserve">EPC commissioned</t>
  </si>
  <si>
    <t xml:space="preserve">Must be commissioned before marketing.</t>
  </si>
  <si>
    <t xml:space="preserve">G4</t>
  </si>
  <si>
    <t xml:space="preserve">Three agent valuations vs your worst-case end value</t>
  </si>
  <si>
    <t xml:space="preserve">Price realistically from day one.</t>
  </si>
  <si>
    <t xml:space="preserve">H1</t>
  </si>
  <si>
    <t xml:space="preserve">5 Sale</t>
  </si>
  <si>
    <t xml:space="preserve">Sale progression chased weekly</t>
  </si>
  <si>
    <t xml:space="preserve">Most delays are paperwork.</t>
  </si>
  <si>
    <t xml:space="preserve">H5</t>
  </si>
  <si>
    <t xml:space="preserve">Bridge redemption statement requested two weeks before completion</t>
  </si>
  <si>
    <t xml:space="preserve">No surprise interest or fees.</t>
  </si>
  <si>
    <t xml:space="preserve">H7</t>
  </si>
  <si>
    <t xml:space="preserve">Close-out: actual vs appraised profit and durations</t>
  </si>
  <si>
    <t xml:space="preserve">Update this template's default durations.</t>
  </si>
  <si>
    <t xml:space="preserve">H9</t>
  </si>
  <si>
    <t xml:space="preserve">VIXIV LTD — Flip programme: Deal 1</t>
  </si>
  <si>
    <t xml:space="preserve">Edit only the YELLOW cells (blue text). Dates, Gantt and flags recalculate. Durations are working days. Example values shown — replace with your deal.</t>
  </si>
  <si>
    <t xml:space="preserve">DEAL INPUTS</t>
  </si>
  <si>
    <t xml:space="preserve">SCOPE SWITCHES (Y/N)</t>
  </si>
  <si>
    <t xml:space="preserve">KEY DATES (calculated)</t>
  </si>
  <si>
    <t xml:space="preserve">Deal name / address</t>
  </si>
  <si>
    <t xml:space="preserve">EXAMPLE — 2-bed terrace, Rochdale (replace)</t>
  </si>
  <si>
    <t xml:space="preserve">Pre-2000 build</t>
  </si>
  <si>
    <t xml:space="preserve">Y</t>
  </si>
  <si>
    <t xml:space="preserve">Purchase route</t>
  </si>
  <si>
    <t xml:space="preserve">Auction</t>
  </si>
  <si>
    <t xml:space="preserve">Structural</t>
  </si>
  <si>
    <t xml:space="preserve">N</t>
  </si>
  <si>
    <t xml:space="preserve">Works start (strip-out)</t>
  </si>
  <si>
    <t xml:space="preserve">Deal secured date</t>
  </si>
  <si>
    <t xml:space="preserve">Damp/timber</t>
  </si>
  <si>
    <t xml:space="preserve">Auction completion period (calendar days)</t>
  </si>
  <si>
    <t xml:space="preserve">Roof/external</t>
  </si>
  <si>
    <t xml:space="preserve">Agent route: exchange → completion (WD)</t>
  </si>
  <si>
    <t xml:space="preserve">Windows/doors</t>
  </si>
  <si>
    <t xml:space="preserve">Sale agreed</t>
  </si>
  <si>
    <t xml:space="preserve">Contingency on construction durations</t>
  </si>
  <si>
    <t xml:space="preserve">Rewire</t>
  </si>
  <si>
    <t xml:space="preserve">Winter drying allowance (extra WD, Nov–Feb)</t>
  </si>
  <si>
    <t xml:space="preserve">Heating/boiler</t>
  </si>
  <si>
    <t xml:space="preserve">Build duration (WD)</t>
  </si>
  <si>
    <t xml:space="preserve">WD to agree a sale after listing</t>
  </si>
  <si>
    <t xml:space="preserve">Kitchen</t>
  </si>
  <si>
    <t xml:space="preserve">Months owned (completion → sale)</t>
  </si>
  <si>
    <t xml:space="preserve">Bridge term (months)</t>
  </si>
  <si>
    <t xml:space="preserve">Bathroom</t>
  </si>
  <si>
    <t xml:space="preserve">Mentor's crew (TBC)</t>
  </si>
  <si>
    <t xml:space="preserve">Deal secured → sale completed (days)</t>
  </si>
  <si>
    <t xml:space="preserve">Sale: exchange → completion (WD)</t>
  </si>
  <si>
    <t xml:space="preserve">Gantt key:</t>
  </si>
  <si>
    <t xml:space="preserve">A Purchase &amp; DD</t>
  </si>
  <si>
    <t xml:space="preserve">B Pre-start</t>
  </si>
  <si>
    <t xml:space="preserve">C Strip-out &amp; structure</t>
  </si>
  <si>
    <t xml:space="preserve">D First fix</t>
  </si>
  <si>
    <t xml:space="preserve">E Plaster</t>
  </si>
  <si>
    <t xml:space="preserve">F Second fix &amp; finish</t>
  </si>
  <si>
    <t xml:space="preserve">G Sign-off</t>
  </si>
  <si>
    <t xml:space="preserve">H Sale &amp; close-out</t>
  </si>
  <si>
    <t xml:space="preserve">■ milestone</t>
  </si>
  <si>
    <t xml:space="preserve">ID</t>
  </si>
  <si>
    <t xml:space="preserve">Phase</t>
  </si>
  <si>
    <t xml:space="preserve">Activity</t>
  </si>
  <si>
    <t xml:space="preserve">Owner</t>
  </si>
  <si>
    <t xml:space="preserve">Scope switch</t>
  </si>
  <si>
    <t xml:space="preserve">Hold point</t>
  </si>
  <si>
    <t xml:space="preserve">Dur WD (auction)</t>
  </si>
  <si>
    <t xml:space="preserve">Dur WD (agent)</t>
  </si>
  <si>
    <t xml:space="preserve">Contingency?</t>
  </si>
  <si>
    <t xml:space="preserve">Applies?</t>
  </si>
  <si>
    <t xml:space="preserve">Dur used (WD)</t>
  </si>
  <si>
    <t xml:space="preserve">Predecessors</t>
  </si>
  <si>
    <t xml:space="preserve">Lag (WD)</t>
  </si>
  <si>
    <t xml:space="preserve">Finish</t>
  </si>
  <si>
    <t xml:space="preserve">Status</t>
  </si>
  <si>
    <t xml:space="preserve">Flags</t>
  </si>
  <si>
    <t xml:space="preserve">Notes / what good looks like</t>
  </si>
  <si>
    <t xml:space="preserve">A1</t>
  </si>
  <si>
    <t xml:space="preserve">Deal secured (auction: hammer falls = exchange; agent: offer accepted)</t>
  </si>
  <si>
    <t xml:space="preserve">Paul</t>
  </si>
  <si>
    <t xml:space="preserve">Both</t>
  </si>
  <si>
    <t xml:space="preserve">Not started</t>
  </si>
  <si>
    <t xml:space="preserve">Day 0. Everything else is driven from the date in C7.</t>
  </si>
  <si>
    <t xml:space="preserve">Buildings insurance (unoccupied cover) in force</t>
  </si>
  <si>
    <t xml:space="preserve">Paul / broker</t>
  </si>
  <si>
    <t xml:space="preserve">A1SS</t>
  </si>
  <si>
    <t xml:space="preserve">Auction: risk passes to you at the hammer. Agent route: must be on cover from exchange at the latest.</t>
  </si>
  <si>
    <t xml:space="preserve">A3</t>
  </si>
  <si>
    <t xml:space="preserve">Pay 10% deposit + buyer's premium / auction fees</t>
  </si>
  <si>
    <t xml:space="preserve">Paid on the day. Funds must be ready before you bid.</t>
  </si>
  <si>
    <t xml:space="preserve">A4</t>
  </si>
  <si>
    <t xml:space="preserve">Instruct solicitor; legal pack / memorandum of sale to solicitor and lender</t>
  </si>
  <si>
    <t xml:space="preserve">Bridging valuation instructed and inspection done</t>
  </si>
  <si>
    <t xml:space="preserve">Broker / lender</t>
  </si>
  <si>
    <t xml:space="preserve">A4SS</t>
  </si>
  <si>
    <t xml:space="preserve">Ideally have a decision in principle BEFORE the auction.</t>
  </si>
  <si>
    <t xml:space="preserve">A6</t>
  </si>
  <si>
    <t xml:space="preserve">Bridging underwriting and formal loan offer</t>
  </si>
  <si>
    <t xml:space="preserve">Lender</t>
  </si>
  <si>
    <t xml:space="preserve">A5FS</t>
  </si>
  <si>
    <t xml:space="preserve">Searches and enquiries raised and answered</t>
  </si>
  <si>
    <t xml:space="preserve">Solicitor</t>
  </si>
  <si>
    <t xml:space="preserve">Estate agent</t>
  </si>
  <si>
    <t xml:space="preserve">A4FS</t>
  </si>
  <si>
    <t xml:space="preserve">Auction route: done BEFORE bidding (see DD Checklist).</t>
  </si>
  <si>
    <t xml:space="preserve">A8</t>
  </si>
  <si>
    <t xml:space="preserve">Independent survey + builder walk-round for quote</t>
  </si>
  <si>
    <t xml:space="preserve">Surveyor / builder</t>
  </si>
  <si>
    <t xml:space="preserve">Review title, searches and survey: renegotiate or withdraw</t>
  </si>
  <si>
    <t xml:space="preserve">Paul + mentor</t>
  </si>
  <si>
    <t xml:space="preserve">HOLD</t>
  </si>
  <si>
    <t xml:space="preserve">A7FS; A8FS</t>
  </si>
  <si>
    <t xml:space="preserve">Re-run the DealsDash appraisal with real costs. Walk away if it fails.</t>
  </si>
  <si>
    <t xml:space="preserve">A10</t>
  </si>
  <si>
    <t xml:space="preserve">Exchange contracts (deposit paid)</t>
  </si>
  <si>
    <t xml:space="preserve">A9FS; A6FS</t>
  </si>
  <si>
    <t xml:space="preserve">Legally committed from here.</t>
  </si>
  <si>
    <t xml:space="preserve">A11</t>
  </si>
  <si>
    <t xml:space="preserve">Lender's legal work, report on title, funds requested</t>
  </si>
  <si>
    <t xml:space="preserve">Solicitors</t>
  </si>
  <si>
    <t xml:space="preserve">A6FS; A10FS</t>
  </si>
  <si>
    <t xml:space="preserve">A12</t>
  </si>
  <si>
    <t xml:space="preserve">PURCHASE COMPLETION: keys released</t>
  </si>
  <si>
    <t xml:space="preserve">A1 (auction) / A10, A11 (agent)</t>
  </si>
  <si>
    <t xml:space="preserve">Auction: fixed by contract (usually 28 calendar days). Agent: exchange + C9 working days.</t>
  </si>
  <si>
    <t xml:space="preserve">Builder schedule of works and measured scope</t>
  </si>
  <si>
    <t xml:space="preserve">Builder</t>
  </si>
  <si>
    <t xml:space="preserve">A1FS; A8FS</t>
  </si>
  <si>
    <t xml:space="preserve">Auction: arrange access via auctioneer/seller, or use the pre-bid viewing scope.</t>
  </si>
  <si>
    <t xml:space="preserve">B2</t>
  </si>
  <si>
    <t xml:space="preserve">Fixed-price quote(s) received; mentor review</t>
  </si>
  <si>
    <t xml:space="preserve">Builder / mentor</t>
  </si>
  <si>
    <t xml:space="preserve">B1FS</t>
  </si>
  <si>
    <t xml:space="preserve">Sign contract: scope, stage payments, 5% retention; check insurance, verify CIS</t>
  </si>
  <si>
    <t xml:space="preserve">B2FS</t>
  </si>
  <si>
    <t xml:space="preserve">No signed scope + price = no start.</t>
  </si>
  <si>
    <t xml:space="preserve">B4</t>
  </si>
  <si>
    <t xml:space="preserve">Order long-lead items (kitchen, boiler, windows)</t>
  </si>
  <si>
    <t xml:space="preserve">Paul / builder</t>
  </si>
  <si>
    <t xml:space="preserve">B3FS</t>
  </si>
  <si>
    <t xml:space="preserve">B5</t>
  </si>
  <si>
    <t xml:space="preserve">Long-lead delivery window</t>
  </si>
  <si>
    <t xml:space="preserve">Suppliers</t>
  </si>
  <si>
    <t xml:space="preserve">B4FS</t>
  </si>
  <si>
    <t xml:space="preserve">Typical 3 weeks; windows can be 4–6. Edit to supplier quote.</t>
  </si>
  <si>
    <t xml:space="preserve">Asbestos refurbishment survey</t>
  </si>
  <si>
    <t xml:space="preserve">Surveyor</t>
  </si>
  <si>
    <t xml:space="preserve">A12FS</t>
  </si>
  <si>
    <t xml:space="preserve">Before any intrusive work on a pre-2000 property (HSE guidance — confirm with contractor).</t>
  </si>
  <si>
    <t xml:space="preserve">B7</t>
  </si>
  <si>
    <t xml:space="preserve">Utilities and meter readings, council tax, change locks, skip, start photos</t>
  </si>
  <si>
    <t xml:space="preserve">C1</t>
  </si>
  <si>
    <t xml:space="preserve">Strip-out: kitchen, bathroom, flooring, blown plaster</t>
  </si>
  <si>
    <t xml:space="preserve">B7FS; B6FS; B3FS</t>
  </si>
  <si>
    <t xml:space="preserve">Opening-up inspection; update costs in DealsDash</t>
  </si>
  <si>
    <t xml:space="preserve">Paul + builder</t>
  </si>
  <si>
    <t xml:space="preserve">C1FS</t>
  </si>
  <si>
    <t xml:space="preserve">Hidden defects show here. Re-check profit vs target before committing more spend.</t>
  </si>
  <si>
    <t xml:space="preserve">C3</t>
  </si>
  <si>
    <t xml:space="preserve">Structural works (engineer design + Building Control notice)</t>
  </si>
  <si>
    <t xml:space="preserve">Builder / engineer</t>
  </si>
  <si>
    <t xml:space="preserve">C2FS</t>
  </si>
  <si>
    <t xml:space="preserve">C4</t>
  </si>
  <si>
    <t xml:space="preserve">Damp-proofing / timber treatment</t>
  </si>
  <si>
    <t xml:space="preserve">Specialist</t>
  </si>
  <si>
    <t xml:space="preserve">Get the guarantee for the sale pack.</t>
  </si>
  <si>
    <t xml:space="preserve">C5</t>
  </si>
  <si>
    <t xml:space="preserve">Roof and external repairs (roof, gutters, pointing, render)</t>
  </si>
  <si>
    <t xml:space="preserve">Roofer / builder</t>
  </si>
  <si>
    <t xml:space="preserve">C6</t>
  </si>
  <si>
    <t xml:space="preserve">Windows and external doors fitted</t>
  </si>
  <si>
    <t xml:space="preserve">Installer</t>
  </si>
  <si>
    <t xml:space="preserve">C2FS; B5FS</t>
  </si>
  <si>
    <t xml:space="preserve">Keep FENSA certificate.</t>
  </si>
  <si>
    <t xml:space="preserve">D1</t>
  </si>
  <si>
    <t xml:space="preserve">Electrical first fix (rewire)</t>
  </si>
  <si>
    <t xml:space="preserve">Electrician</t>
  </si>
  <si>
    <t xml:space="preserve">C3FS; C4FS</t>
  </si>
  <si>
    <t xml:space="preserve">D2</t>
  </si>
  <si>
    <t xml:space="preserve">Plumbing and heating first fix</t>
  </si>
  <si>
    <t xml:space="preserve">Plumber</t>
  </si>
  <si>
    <t xml:space="preserve">Starts 1 day after electrics to share the site.</t>
  </si>
  <si>
    <t xml:space="preserve">D3</t>
  </si>
  <si>
    <t xml:space="preserve">Joinery first fix (stud walls, linings)</t>
  </si>
  <si>
    <t xml:space="preserve">Carpenter</t>
  </si>
  <si>
    <t xml:space="preserve">First-fix check before boarding (electrician / Building Control if notifiable)</t>
  </si>
  <si>
    <t xml:space="preserve">D1FS; D2FS; D3FS</t>
  </si>
  <si>
    <t xml:space="preserve">Photograph every wall before boarding.</t>
  </si>
  <si>
    <t xml:space="preserve">E1</t>
  </si>
  <si>
    <t xml:space="preserve">Board, plaster and skim</t>
  </si>
  <si>
    <t xml:space="preserve">Plasterer</t>
  </si>
  <si>
    <t xml:space="preserve">D4FS; C5FS; C6FS</t>
  </si>
  <si>
    <t xml:space="preserve">Roof watertight and windows in first.</t>
  </si>
  <si>
    <t xml:space="preserve">E2</t>
  </si>
  <si>
    <t xml:space="preserve">Drying out (winter allowance added automatically Nov–Feb)</t>
  </si>
  <si>
    <t xml:space="preserve">E1FS</t>
  </si>
  <si>
    <t xml:space="preserve">Heat + dehumidifiers. Painting too early = cracking and bloom.</t>
  </si>
  <si>
    <t xml:space="preserve">E3</t>
  </si>
  <si>
    <t xml:space="preserve">Mist coat</t>
  </si>
  <si>
    <t xml:space="preserve">Decorator</t>
  </si>
  <si>
    <t xml:space="preserve">E2FS</t>
  </si>
  <si>
    <t xml:space="preserve">F1</t>
  </si>
  <si>
    <t xml:space="preserve">Kitchen fit</t>
  </si>
  <si>
    <t xml:space="preserve">Kitchen fitter</t>
  </si>
  <si>
    <t xml:space="preserve">E3FS; B5FS</t>
  </si>
  <si>
    <t xml:space="preserve">F2</t>
  </si>
  <si>
    <t xml:space="preserve">Bathroom fit and tiling</t>
  </si>
  <si>
    <t xml:space="preserve">Plumber / tiler</t>
  </si>
  <si>
    <t xml:space="preserve">E3FS</t>
  </si>
  <si>
    <t xml:space="preserve">F3</t>
  </si>
  <si>
    <t xml:space="preserve">Electrical second fix and testing</t>
  </si>
  <si>
    <t xml:space="preserve">F1FS; F2FS</t>
  </si>
  <si>
    <t xml:space="preserve">F4</t>
  </si>
  <si>
    <t xml:space="preserve">Plumbing / heating second fix; boiler commissioned</t>
  </si>
  <si>
    <t xml:space="preserve">Plumber / Gas Safe</t>
  </si>
  <si>
    <t xml:space="preserve">F5</t>
  </si>
  <si>
    <t xml:space="preserve">Joinery second fix (doors, skirting, architrave)</t>
  </si>
  <si>
    <t xml:space="preserve">F6</t>
  </si>
  <si>
    <t xml:space="preserve">Decoration</t>
  </si>
  <si>
    <t xml:space="preserve">F3FS; F4FS; F5FS</t>
  </si>
  <si>
    <t xml:space="preserve">F7</t>
  </si>
  <si>
    <t xml:space="preserve">Flooring</t>
  </si>
  <si>
    <t xml:space="preserve">Flooring fitter</t>
  </si>
  <si>
    <t xml:space="preserve">F6FS</t>
  </si>
  <si>
    <t xml:space="preserve">F8</t>
  </si>
  <si>
    <t xml:space="preserve">Kerb appeal: front door, paint, garden tidy</t>
  </si>
  <si>
    <t xml:space="preserve">Training rule: £1 of refurb should add £3 of value.</t>
  </si>
  <si>
    <t xml:space="preserve">Certificates: EIC (Part P), Gas Safe / Building Regs, FENSA, Building Control completion</t>
  </si>
  <si>
    <t xml:space="preserve">Trades</t>
  </si>
  <si>
    <t xml:space="preserve">F3FS; F4FS</t>
  </si>
  <si>
    <t xml:space="preserve">Buyer's solicitor will ask for every one. No certs = delayed exchange.</t>
  </si>
  <si>
    <t xml:space="preserve">G2</t>
  </si>
  <si>
    <t xml:space="preserve">Snagging walk-round and fixes</t>
  </si>
  <si>
    <t xml:space="preserve">F7FS; F8FS</t>
  </si>
  <si>
    <t xml:space="preserve">G3</t>
  </si>
  <si>
    <t xml:space="preserve">PRACTICAL COMPLETION: stage payment (5% retention held)</t>
  </si>
  <si>
    <t xml:space="preserve">G2FS</t>
  </si>
  <si>
    <t xml:space="preserve">Sign off only when the snag list is clear.</t>
  </si>
  <si>
    <t xml:space="preserve">Assessor</t>
  </si>
  <si>
    <t xml:space="preserve">G5</t>
  </si>
  <si>
    <t xml:space="preserve">Deep clean, staging, photos and floorplan</t>
  </si>
  <si>
    <t xml:space="preserve">Three agent valuations; instruct agent</t>
  </si>
  <si>
    <t xml:space="preserve">G2SS</t>
  </si>
  <si>
    <t xml:space="preserve">Book during snagging.</t>
  </si>
  <si>
    <t xml:space="preserve">H2</t>
  </si>
  <si>
    <t xml:space="preserve">LISTED on portals</t>
  </si>
  <si>
    <t xml:space="preserve">Agent</t>
  </si>
  <si>
    <t xml:space="preserve">H1FS; G4FS; G5FS</t>
  </si>
  <si>
    <t xml:space="preserve">H3</t>
  </si>
  <si>
    <t xml:space="preserve">Viewings → sale agreed</t>
  </si>
  <si>
    <t xml:space="preserve">H2FS</t>
  </si>
  <si>
    <t xml:space="preserve">Duration set in C12.</t>
  </si>
  <si>
    <t xml:space="preserve">H4</t>
  </si>
  <si>
    <t xml:space="preserve">Memorandum of sale; buyer's mortgage valuation</t>
  </si>
  <si>
    <t xml:space="preserve">Agent / buyer</t>
  </si>
  <si>
    <t xml:space="preserve">H3FS</t>
  </si>
  <si>
    <t xml:space="preserve">Buyer's searches, enquiries and survey; supply certificates</t>
  </si>
  <si>
    <t xml:space="preserve">Chase weekly. Typical sale-agreed → completion: 12–16 weeks.</t>
  </si>
  <si>
    <t xml:space="preserve">H6</t>
  </si>
  <si>
    <t xml:space="preserve">Exchange contracts on sale</t>
  </si>
  <si>
    <t xml:space="preserve">H4FS; H5FS; G1FS</t>
  </si>
  <si>
    <t xml:space="preserve">SALE COMPLETION: bridge redeemed</t>
  </si>
  <si>
    <t xml:space="preserve">H6FS</t>
  </si>
  <si>
    <t xml:space="preserve">Lag = C15 − 1 so completion lands C15 working days after exchange.</t>
  </si>
  <si>
    <t xml:space="preserve">H8</t>
  </si>
  <si>
    <t xml:space="preserve">Retention released (end of defects period)</t>
  </si>
  <si>
    <t xml:space="preserve">G3FS</t>
  </si>
  <si>
    <t xml:space="preserve">Lag 60 WD ≈ 3 months after practical completion.</t>
  </si>
  <si>
    <t xml:space="preserve">Close-out: final P&amp;L vs appraisal in DealsDash; lessons learned</t>
  </si>
  <si>
    <t xml:space="preserve">H7FS</t>
  </si>
  <si>
    <t xml:space="preserve">Feed actual durations back into this template.</t>
  </si>
  <si>
    <t xml:space="preserve">VIXIV LTD — Flip programme: Deal 2</t>
  </si>
  <si>
    <t xml:space="preserve">EXAMPLE — 3-bed semi via agent (replace)</t>
  </si>
  <si>
    <t xml:space="preserve">Friend (general builder)</t>
  </si>
  <si>
    <t xml:space="preserve">Non-working days used by every date formula</t>
  </si>
  <si>
    <t xml:space="preserve">England &amp; Wales bank holidays computed for 2026–2028 — verify at gov.uk/bank-holidays. Trade shutdown days are editable; add your own (e.g. crew holidays) in the yellow rows.</t>
  </si>
  <si>
    <t xml:space="preserve">Description</t>
  </si>
  <si>
    <t xml:space="preserve">Date</t>
  </si>
  <si>
    <t xml:space="preserve">Christmas / Boxing Day (substitute if weekend)</t>
  </si>
  <si>
    <t xml:space="preserve">Trade Christmas shutdown (editable)</t>
  </si>
  <si>
    <t xml:space="preserve">New Year's Day</t>
  </si>
  <si>
    <t xml:space="preserve">Good Friday</t>
  </si>
  <si>
    <t xml:space="preserve">Easter Monday</t>
  </si>
  <si>
    <t xml:space="preserve">Early May bank holiday</t>
  </si>
  <si>
    <t xml:space="preserve">Spring bank holiday</t>
  </si>
  <si>
    <t xml:space="preserve">Summer bank holiday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</si>
</sst>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dd\-mmm\-yy"/>
    <numFmt numFmtId="167" formatCode="0.0"/>
    <numFmt numFmtId="168" formatCode="0.0;[RED]\-0.0"/>
    <numFmt numFmtId="169" formatCode="0"/>
    <numFmt numFmtId="170" formatCode="dd"/>
    <numFmt numFmtId="171" formatCode="dd\-mmm\-yyyy"/>
    <numFmt numFmtId="172" formatCode="0%"/>
    <numFmt numFmtId="173" formatCode="General"/>
    <numFmt numFmtId="174" formatCode="ddd\ dd\-mmm\-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B00020"/>
      <name val="Arial"/>
      <family val="0"/>
      <charset val="1"/>
    </font>
    <font>
      <b val="true"/>
      <sz val="7"/>
      <name val="Arial"/>
      <family val="0"/>
      <charset val="1"/>
    </font>
    <font>
      <sz val="7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"/>
      <name val="Arial"/>
      <family val="0"/>
      <charset val="1"/>
    </font>
    <font>
      <sz val="8"/>
      <color rgb="FFFFFFFF"/>
      <name val="Arial"/>
      <family val="0"/>
      <charset val="1"/>
    </font>
    <font>
      <sz val="9"/>
      <color rgb="FFB00020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59D"/>
        <bgColor rgb="FFFFF3CD"/>
      </patternFill>
    </fill>
    <fill>
      <patternFill patternType="solid">
        <fgColor rgb="FFE8EAF0"/>
        <bgColor rgb="FFE8F5E9"/>
      </patternFill>
    </fill>
    <fill>
      <patternFill patternType="solid">
        <fgColor rgb="FF5B8DEF"/>
        <bgColor rgb="FF9B7BD8"/>
      </patternFill>
    </fill>
    <fill>
      <patternFill patternType="solid">
        <fgColor rgb="FF9B7BD8"/>
        <bgColor rgb="FFA0A0A0"/>
      </patternFill>
    </fill>
    <fill>
      <patternFill patternType="solid">
        <fgColor rgb="FFE8833A"/>
        <bgColor rgb="FFFF9900"/>
      </patternFill>
    </fill>
    <fill>
      <patternFill patternType="solid">
        <fgColor rgb="FFE0B32E"/>
        <bgColor rgb="FFFF9900"/>
      </patternFill>
    </fill>
    <fill>
      <patternFill patternType="solid">
        <fgColor rgb="FFB8A07E"/>
        <bgColor rgb="FFA0A0A0"/>
      </patternFill>
    </fill>
    <fill>
      <patternFill patternType="solid">
        <fgColor rgb="FF4CAF7A"/>
        <bgColor rgb="FF2BA5A5"/>
      </patternFill>
    </fill>
    <fill>
      <patternFill patternType="solid">
        <fgColor rgb="FF2BA5A5"/>
        <bgColor rgb="FF4CAF7A"/>
      </patternFill>
    </fill>
    <fill>
      <patternFill patternType="solid">
        <fgColor rgb="FF3F5A8A"/>
        <bgColor rgb="FF55555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CD6"/>
      </left>
      <right style="thin">
        <color rgb="FFC8CCD6"/>
      </right>
      <top style="thin">
        <color rgb="FFC8CCD6"/>
      </top>
      <bottom style="thin">
        <color rgb="FFC8CC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11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1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>
          <bgColor rgb="FF5B8DEF"/>
        </patternFill>
      </fill>
    </dxf>
    <dxf>
      <fill>
        <patternFill>
          <bgColor rgb="FFE8833A"/>
        </patternFill>
      </fill>
    </dxf>
    <dxf>
      <fill>
        <patternFill>
          <bgColor rgb="FF3F5A8A"/>
        </patternFill>
      </fill>
    </dxf>
    <dxf>
      <fill>
        <patternFill>
          <bgColor rgb="FFE8F5E9"/>
        </patternFill>
      </fill>
    </dxf>
    <dxf>
      <fill>
        <patternFill>
          <bgColor rgb="FF111111"/>
        </patternFill>
      </fill>
    </dxf>
    <dxf>
      <fill>
        <patternFill>
          <bgColor rgb="FF9B7BD8"/>
        </patternFill>
      </fill>
    </dxf>
    <dxf>
      <fill>
        <patternFill>
          <bgColor rgb="FFE0B32E"/>
        </patternFill>
      </fill>
    </dxf>
    <dxf>
      <fill>
        <patternFill>
          <bgColor rgb="FFB8A07E"/>
        </patternFill>
      </fill>
    </dxf>
    <dxf>
      <fill>
        <patternFill>
          <bgColor rgb="FF4CAF7A"/>
        </patternFill>
      </fill>
    </dxf>
    <dxf>
      <fill>
        <patternFill>
          <bgColor rgb="FF2BA5A5"/>
        </patternFill>
      </fill>
    </dxf>
    <dxf>
      <fill>
        <patternFill>
          <bgColor rgb="FFFDE2E2"/>
        </patternFill>
      </fill>
    </dxf>
    <dxf>
      <fill>
        <patternFill>
          <bgColor rgb="FFD32F2F"/>
        </patternFill>
      </fill>
    </dxf>
    <dxf>
      <font>
        <i val="1"/>
        <color rgb="FFA0A0A0"/>
      </font>
      <fill>
        <patternFill>
          <bgColor rgb="FFF4F4F4"/>
        </patternFill>
      </fill>
    </dxf>
    <dxf>
      <fill>
        <patternFill>
          <bgColor rgb="FFFFF3CD"/>
        </patternFill>
      </fill>
    </dxf>
    <dxf>
      <fill>
        <patternFill>
          <bgColor rgb="FFC8E6C9"/>
        </patternFill>
      </fill>
    </dxf>
    <dxf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8CCD6"/>
      <rgbColor rgb="FFB8A07E"/>
      <rgbColor rgb="FF9B7BD8"/>
      <rgbColor rgb="FF993366"/>
      <rgbColor rgb="FFFFF3CD"/>
      <rgbColor rgb="FFE8F5E9"/>
      <rgbColor rgb="FF660066"/>
      <rgbColor rgb="FFE8833A"/>
      <rgbColor rgb="FF0066CC"/>
      <rgbColor rgb="FFFD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0"/>
      <rgbColor rgb="FFC8E6C9"/>
      <rgbColor rgb="FFFFF59D"/>
      <rgbColor rgb="FFF4F4F4"/>
      <rgbColor rgb="FFFF99CC"/>
      <rgbColor rgb="FFCC99FF"/>
      <rgbColor rgb="FFFFCDD2"/>
      <rgbColor rgb="FF5B8DEF"/>
      <rgbColor rgb="FF2BA5A5"/>
      <rgbColor rgb="FF99CC00"/>
      <rgbColor rgb="FFE0B32E"/>
      <rgbColor rgb="FFFF9900"/>
      <rgbColor rgb="FFFF6600"/>
      <rgbColor rgb="FF3F5A8A"/>
      <rgbColor rgb="FFA0A0A0"/>
      <rgbColor rgb="FF003366"/>
      <rgbColor rgb="FF4CAF7A"/>
      <rgbColor rgb="FF111111"/>
      <rgbColor rgb="FF444444"/>
      <rgbColor rgb="FFD32F2F"/>
      <rgbColor rgb="FF993366"/>
      <rgbColor rgb="FF555555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23.8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 t="s">
        <v>19</v>
      </c>
    </row>
    <row r="24" customFormat="false" ht="15" hidden="false" customHeight="false" outlineLevel="0" collapsed="false">
      <c r="A24" s="3" t="s">
        <v>20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34"/>
    <col collapsed="false" customWidth="true" hidden="false" outlineLevel="0" max="81" min="4" style="0" width="2.6"/>
  </cols>
  <sheetData>
    <row r="1" customFormat="false" ht="19.7" hidden="false" customHeight="false" outlineLevel="0" collapsed="false">
      <c r="A1" s="1" t="s">
        <v>23</v>
      </c>
    </row>
    <row r="2" customFormat="false" ht="15" hidden="false" customHeight="false" outlineLevel="0" collapsed="false">
      <c r="A2" s="4" t="s">
        <v>24</v>
      </c>
    </row>
    <row r="4" customFormat="false" ht="15" hidden="false" customHeight="false" outlineLevel="0" collapsed="false">
      <c r="A4" s="5"/>
      <c r="B4" s="5" t="s">
        <v>25</v>
      </c>
      <c r="C4" s="5" t="s">
        <v>26</v>
      </c>
    </row>
    <row r="5" customFormat="false" ht="15" hidden="false" customHeight="false" outlineLevel="0" collapsed="false">
      <c r="A5" s="6" t="s">
        <v>27</v>
      </c>
      <c r="B5" s="7" t="str">
        <f aca="false">'Deal 1'!$C$5</f>
        <v>EXAMPLE — 2-bed terrace, Rochdale (replace)</v>
      </c>
      <c r="C5" s="7" t="str">
        <f aca="false">'Deal 2'!$C$5</f>
        <v>EXAMPLE — 3-bed semi via agent (replace)</v>
      </c>
    </row>
    <row r="6" customFormat="false" ht="15" hidden="false" customHeight="false" outlineLevel="0" collapsed="false">
      <c r="A6" s="6" t="s">
        <v>28</v>
      </c>
      <c r="B6" s="7" t="str">
        <f aca="false">'Deal 1'!$C$6</f>
        <v>Auction</v>
      </c>
      <c r="C6" s="7" t="str">
        <f aca="false">'Deal 2'!$C$6</f>
        <v>Estate agent</v>
      </c>
    </row>
    <row r="7" customFormat="false" ht="15" hidden="false" customHeight="false" outlineLevel="0" collapsed="false">
      <c r="A7" s="6" t="s">
        <v>29</v>
      </c>
      <c r="B7" s="7" t="str">
        <f aca="false">'Deal 1'!$C$14</f>
        <v>Mentor's crew (TBC)</v>
      </c>
      <c r="C7" s="7" t="str">
        <f aca="false">'Deal 2'!$C$14</f>
        <v>Friend (general builder)</v>
      </c>
    </row>
    <row r="8" customFormat="false" ht="15" hidden="false" customHeight="false" outlineLevel="0" collapsed="false">
      <c r="A8" s="6" t="s">
        <v>30</v>
      </c>
      <c r="B8" s="8" t="n">
        <f aca="false">'Deal 1'!$C$7</f>
        <v>46366</v>
      </c>
      <c r="C8" s="8" t="n">
        <f aca="false">'Deal 2'!$C$7</f>
        <v>46419</v>
      </c>
    </row>
    <row r="9" customFormat="false" ht="15" hidden="false" customHeight="false" outlineLevel="0" collapsed="false">
      <c r="A9" s="6" t="s">
        <v>31</v>
      </c>
      <c r="B9" s="8" t="n">
        <f aca="false">'Deal 1'!$I$5</f>
        <v>46394</v>
      </c>
      <c r="C9" s="8" t="n">
        <f aca="false">'Deal 2'!$I$5</f>
        <v>46477</v>
      </c>
    </row>
    <row r="10" customFormat="false" ht="15" hidden="false" customHeight="false" outlineLevel="0" collapsed="false">
      <c r="A10" s="6" t="s">
        <v>32</v>
      </c>
      <c r="B10" s="8" t="n">
        <f aca="false">'Deal 1'!$I$6</f>
        <v>46402</v>
      </c>
      <c r="C10" s="8" t="n">
        <f aca="false">'Deal 2'!$I$6</f>
        <v>46485</v>
      </c>
    </row>
    <row r="11" customFormat="false" ht="15" hidden="false" customHeight="false" outlineLevel="0" collapsed="false">
      <c r="A11" s="6" t="s">
        <v>33</v>
      </c>
      <c r="B11" s="8" t="n">
        <f aca="false">'Deal 1'!$I$7</f>
        <v>46485</v>
      </c>
      <c r="C11" s="8" t="n">
        <f aca="false">'Deal 2'!$I$7</f>
        <v>46563</v>
      </c>
    </row>
    <row r="12" customFormat="false" ht="15" hidden="false" customHeight="false" outlineLevel="0" collapsed="false">
      <c r="A12" s="6" t="s">
        <v>34</v>
      </c>
      <c r="B12" s="8" t="n">
        <f aca="false">'Deal 1'!$I$8</f>
        <v>46490</v>
      </c>
      <c r="C12" s="8" t="n">
        <f aca="false">'Deal 2'!$I$8</f>
        <v>46568</v>
      </c>
    </row>
    <row r="13" customFormat="false" ht="15" hidden="false" customHeight="false" outlineLevel="0" collapsed="false">
      <c r="A13" s="6" t="s">
        <v>35</v>
      </c>
      <c r="B13" s="8" t="n">
        <f aca="false">'Deal 1'!$I$10</f>
        <v>46605</v>
      </c>
      <c r="C13" s="8" t="n">
        <f aca="false">'Deal 2'!$I$10</f>
        <v>46682</v>
      </c>
    </row>
    <row r="14" customFormat="false" ht="15" hidden="false" customHeight="false" outlineLevel="0" collapsed="false">
      <c r="A14" s="6" t="s">
        <v>36</v>
      </c>
      <c r="B14" s="9" t="n">
        <f aca="false">'Deal 1'!$I$12</f>
        <v>6.93166885676741</v>
      </c>
      <c r="C14" s="9" t="n">
        <f aca="false">'Deal 2'!$I$12</f>
        <v>6.73455978975033</v>
      </c>
    </row>
    <row r="15" customFormat="false" ht="15" hidden="false" customHeight="false" outlineLevel="0" collapsed="false">
      <c r="A15" s="6" t="s">
        <v>37</v>
      </c>
      <c r="B15" s="10" t="n">
        <f aca="false">'Deal 1'!$I$13</f>
        <v>5.06833114323259</v>
      </c>
      <c r="C15" s="10" t="n">
        <f aca="false">'Deal 2'!$I$13</f>
        <v>5.26544021024967</v>
      </c>
    </row>
    <row r="17" customFormat="false" ht="15" hidden="false" customHeight="false" outlineLevel="0" collapsed="false">
      <c r="A17" s="6" t="s">
        <v>38</v>
      </c>
      <c r="B17" s="11" t="str">
        <f aca="false">IF(AND(B10&lt;C11,C10&lt;B11),"⚠ Builds overlap by "&amp;(MIN(B11,C11)-MAX(B10,C10))&amp;" day(s): confirm a second crew or move Deal 2 later","✓ No build overlap: one crew can run both back-to-back")</f>
        <v>✓ No build overlap: one crew can run both back-to-back</v>
      </c>
    </row>
    <row r="18" customFormat="false" ht="15" hidden="false" customHeight="false" outlineLevel="0" collapsed="false">
      <c r="A18" s="6" t="s">
        <v>39</v>
      </c>
      <c r="B18" s="12" t="n">
        <f aca="false">MAX(0,MIN(B13,C13)-MAX(B8,C8))</f>
        <v>186</v>
      </c>
      <c r="C18" s="4" t="s">
        <v>40</v>
      </c>
    </row>
    <row r="21" customFormat="false" ht="15" hidden="false" customHeight="false" outlineLevel="0" collapsed="false">
      <c r="A21" s="6" t="s">
        <v>41</v>
      </c>
      <c r="D21" s="13" t="str">
        <f aca="false">TEXT(D22,"mmm yy")</f>
        <v>Dec 26</v>
      </c>
      <c r="E21" s="13" t="str">
        <f aca="false">IF(MONTH(E22)&lt;&gt;MONTH(D22),TEXT(E22,"mmm yy"),"")</f>
        <v/>
      </c>
      <c r="F21" s="13" t="str">
        <f aca="false">IF(MONTH(F22)&lt;&gt;MONTH(E22),TEXT(F22,"mmm yy"),"")</f>
        <v/>
      </c>
      <c r="G21" s="13" t="str">
        <f aca="false">IF(MONTH(G22)&lt;&gt;MONTH(F22),TEXT(G22,"mmm yy"),"")</f>
        <v/>
      </c>
      <c r="H21" s="13" t="str">
        <f aca="false">IF(MONTH(H22)&lt;&gt;MONTH(G22),TEXT(H22,"mmm yy"),"")</f>
        <v>Jan 27</v>
      </c>
      <c r="I21" s="13" t="str">
        <f aca="false">IF(MONTH(I22)&lt;&gt;MONTH(H22),TEXT(I22,"mmm yy"),"")</f>
        <v/>
      </c>
      <c r="J21" s="13" t="str">
        <f aca="false">IF(MONTH(J22)&lt;&gt;MONTH(I22),TEXT(J22,"mmm yy"),"")</f>
        <v/>
      </c>
      <c r="K21" s="13" t="str">
        <f aca="false">IF(MONTH(K22)&lt;&gt;MONTH(J22),TEXT(K22,"mmm yy"),"")</f>
        <v/>
      </c>
      <c r="L21" s="13" t="str">
        <f aca="false">IF(MONTH(L22)&lt;&gt;MONTH(K22),TEXT(L22,"mmm yy"),"")</f>
        <v>Feb 27</v>
      </c>
      <c r="M21" s="13" t="str">
        <f aca="false">IF(MONTH(M22)&lt;&gt;MONTH(L22),TEXT(M22,"mmm yy"),"")</f>
        <v/>
      </c>
      <c r="N21" s="13" t="str">
        <f aca="false">IF(MONTH(N22)&lt;&gt;MONTH(M22),TEXT(N22,"mmm yy"),"")</f>
        <v/>
      </c>
      <c r="O21" s="13" t="str">
        <f aca="false">IF(MONTH(O22)&lt;&gt;MONTH(N22),TEXT(O22,"mmm yy"),"")</f>
        <v/>
      </c>
      <c r="P21" s="13" t="str">
        <f aca="false">IF(MONTH(P22)&lt;&gt;MONTH(O22),TEXT(P22,"mmm yy"),"")</f>
        <v>Mar 27</v>
      </c>
      <c r="Q21" s="13" t="str">
        <f aca="false">IF(MONTH(Q22)&lt;&gt;MONTH(P22),TEXT(Q22,"mmm yy"),"")</f>
        <v/>
      </c>
      <c r="R21" s="13" t="str">
        <f aca="false">IF(MONTH(R22)&lt;&gt;MONTH(Q22),TEXT(R22,"mmm yy"),"")</f>
        <v/>
      </c>
      <c r="S21" s="13" t="str">
        <f aca="false">IF(MONTH(S22)&lt;&gt;MONTH(R22),TEXT(S22,"mmm yy"),"")</f>
        <v/>
      </c>
      <c r="T21" s="13" t="str">
        <f aca="false">IF(MONTH(T22)&lt;&gt;MONTH(S22),TEXT(T22,"mmm yy"),"")</f>
        <v/>
      </c>
      <c r="U21" s="13" t="str">
        <f aca="false">IF(MONTH(U22)&lt;&gt;MONTH(T22),TEXT(U22,"mmm yy"),"")</f>
        <v>Apr 27</v>
      </c>
      <c r="V21" s="13" t="str">
        <f aca="false">IF(MONTH(V22)&lt;&gt;MONTH(U22),TEXT(V22,"mmm yy"),"")</f>
        <v/>
      </c>
      <c r="W21" s="13" t="str">
        <f aca="false">IF(MONTH(W22)&lt;&gt;MONTH(V22),TEXT(W22,"mmm yy"),"")</f>
        <v/>
      </c>
      <c r="X21" s="13" t="str">
        <f aca="false">IF(MONTH(X22)&lt;&gt;MONTH(W22),TEXT(X22,"mmm yy"),"")</f>
        <v/>
      </c>
      <c r="Y21" s="13" t="str">
        <f aca="false">IF(MONTH(Y22)&lt;&gt;MONTH(X22),TEXT(Y22,"mmm yy"),"")</f>
        <v>May 27</v>
      </c>
      <c r="Z21" s="13" t="str">
        <f aca="false">IF(MONTH(Z22)&lt;&gt;MONTH(Y22),TEXT(Z22,"mmm yy"),"")</f>
        <v/>
      </c>
      <c r="AA21" s="13" t="str">
        <f aca="false">IF(MONTH(AA22)&lt;&gt;MONTH(Z22),TEXT(AA22,"mmm yy"),"")</f>
        <v/>
      </c>
      <c r="AB21" s="13" t="str">
        <f aca="false">IF(MONTH(AB22)&lt;&gt;MONTH(AA22),TEXT(AB22,"mmm yy"),"")</f>
        <v/>
      </c>
      <c r="AC21" s="13" t="str">
        <f aca="false">IF(MONTH(AC22)&lt;&gt;MONTH(AB22),TEXT(AC22,"mmm yy"),"")</f>
        <v/>
      </c>
      <c r="AD21" s="13" t="str">
        <f aca="false">IF(MONTH(AD22)&lt;&gt;MONTH(AC22),TEXT(AD22,"mmm yy"),"")</f>
        <v>Jun 27</v>
      </c>
      <c r="AE21" s="13" t="str">
        <f aca="false">IF(MONTH(AE22)&lt;&gt;MONTH(AD22),TEXT(AE22,"mmm yy"),"")</f>
        <v/>
      </c>
      <c r="AF21" s="13" t="str">
        <f aca="false">IF(MONTH(AF22)&lt;&gt;MONTH(AE22),TEXT(AF22,"mmm yy"),"")</f>
        <v/>
      </c>
      <c r="AG21" s="13" t="str">
        <f aca="false">IF(MONTH(AG22)&lt;&gt;MONTH(AF22),TEXT(AG22,"mmm yy"),"")</f>
        <v/>
      </c>
      <c r="AH21" s="13" t="str">
        <f aca="false">IF(MONTH(AH22)&lt;&gt;MONTH(AG22),TEXT(AH22,"mmm yy"),"")</f>
        <v>Jul 27</v>
      </c>
      <c r="AI21" s="13" t="str">
        <f aca="false">IF(MONTH(AI22)&lt;&gt;MONTH(AH22),TEXT(AI22,"mmm yy"),"")</f>
        <v/>
      </c>
      <c r="AJ21" s="13" t="str">
        <f aca="false">IF(MONTH(AJ22)&lt;&gt;MONTH(AI22),TEXT(AJ22,"mmm yy"),"")</f>
        <v/>
      </c>
      <c r="AK21" s="13" t="str">
        <f aca="false">IF(MONTH(AK22)&lt;&gt;MONTH(AJ22),TEXT(AK22,"mmm yy"),"")</f>
        <v/>
      </c>
      <c r="AL21" s="13" t="str">
        <f aca="false">IF(MONTH(AL22)&lt;&gt;MONTH(AK22),TEXT(AL22,"mmm yy"),"")</f>
        <v>Aug 27</v>
      </c>
      <c r="AM21" s="13" t="str">
        <f aca="false">IF(MONTH(AM22)&lt;&gt;MONTH(AL22),TEXT(AM22,"mmm yy"),"")</f>
        <v/>
      </c>
      <c r="AN21" s="13" t="str">
        <f aca="false">IF(MONTH(AN22)&lt;&gt;MONTH(AM22),TEXT(AN22,"mmm yy"),"")</f>
        <v/>
      </c>
      <c r="AO21" s="13" t="str">
        <f aca="false">IF(MONTH(AO22)&lt;&gt;MONTH(AN22),TEXT(AO22,"mmm yy"),"")</f>
        <v/>
      </c>
      <c r="AP21" s="13" t="str">
        <f aca="false">IF(MONTH(AP22)&lt;&gt;MONTH(AO22),TEXT(AP22,"mmm yy"),"")</f>
        <v/>
      </c>
      <c r="AQ21" s="13" t="str">
        <f aca="false">IF(MONTH(AQ22)&lt;&gt;MONTH(AP22),TEXT(AQ22,"mmm yy"),"")</f>
        <v>Sep 27</v>
      </c>
      <c r="AR21" s="13" t="str">
        <f aca="false">IF(MONTH(AR22)&lt;&gt;MONTH(AQ22),TEXT(AR22,"mmm yy"),"")</f>
        <v/>
      </c>
      <c r="AS21" s="13" t="str">
        <f aca="false">IF(MONTH(AS22)&lt;&gt;MONTH(AR22),TEXT(AS22,"mmm yy"),"")</f>
        <v/>
      </c>
      <c r="AT21" s="13" t="str">
        <f aca="false">IF(MONTH(AT22)&lt;&gt;MONTH(AS22),TEXT(AT22,"mmm yy"),"")</f>
        <v/>
      </c>
      <c r="AU21" s="13" t="str">
        <f aca="false">IF(MONTH(AU22)&lt;&gt;MONTH(AT22),TEXT(AU22,"mmm yy"),"")</f>
        <v>Oct 27</v>
      </c>
      <c r="AV21" s="13" t="str">
        <f aca="false">IF(MONTH(AV22)&lt;&gt;MONTH(AU22),TEXT(AV22,"mmm yy"),"")</f>
        <v/>
      </c>
      <c r="AW21" s="13" t="str">
        <f aca="false">IF(MONTH(AW22)&lt;&gt;MONTH(AV22),TEXT(AW22,"mmm yy"),"")</f>
        <v/>
      </c>
      <c r="AX21" s="13" t="str">
        <f aca="false">IF(MONTH(AX22)&lt;&gt;MONTH(AW22),TEXT(AX22,"mmm yy"),"")</f>
        <v/>
      </c>
      <c r="AY21" s="13" t="str">
        <f aca="false">IF(MONTH(AY22)&lt;&gt;MONTH(AX22),TEXT(AY22,"mmm yy"),"")</f>
        <v>Nov 27</v>
      </c>
      <c r="AZ21" s="13" t="str">
        <f aca="false">IF(MONTH(AZ22)&lt;&gt;MONTH(AY22),TEXT(AZ22,"mmm yy"),"")</f>
        <v/>
      </c>
      <c r="BA21" s="13" t="str">
        <f aca="false">IF(MONTH(BA22)&lt;&gt;MONTH(AZ22),TEXT(BA22,"mmm yy"),"")</f>
        <v/>
      </c>
      <c r="BB21" s="13" t="str">
        <f aca="false">IF(MONTH(BB22)&lt;&gt;MONTH(BA22),TEXT(BB22,"mmm yy"),"")</f>
        <v/>
      </c>
      <c r="BC21" s="13" t="str">
        <f aca="false">IF(MONTH(BC22)&lt;&gt;MONTH(BB22),TEXT(BC22,"mmm yy"),"")</f>
        <v/>
      </c>
      <c r="BD21" s="13" t="str">
        <f aca="false">IF(MONTH(BD22)&lt;&gt;MONTH(BC22),TEXT(BD22,"mmm yy"),"")</f>
        <v>Dec 27</v>
      </c>
      <c r="BE21" s="13" t="str">
        <f aca="false">IF(MONTH(BE22)&lt;&gt;MONTH(BD22),TEXT(BE22,"mmm yy"),"")</f>
        <v/>
      </c>
      <c r="BF21" s="13" t="str">
        <f aca="false">IF(MONTH(BF22)&lt;&gt;MONTH(BE22),TEXT(BF22,"mmm yy"),"")</f>
        <v/>
      </c>
      <c r="BG21" s="13" t="str">
        <f aca="false">IF(MONTH(BG22)&lt;&gt;MONTH(BF22),TEXT(BG22,"mmm yy"),"")</f>
        <v/>
      </c>
      <c r="BH21" s="13" t="str">
        <f aca="false">IF(MONTH(BH22)&lt;&gt;MONTH(BG22),TEXT(BH22,"mmm yy"),"")</f>
        <v>Jan 28</v>
      </c>
      <c r="BI21" s="13" t="str">
        <f aca="false">IF(MONTH(BI22)&lt;&gt;MONTH(BH22),TEXT(BI22,"mmm yy"),"")</f>
        <v/>
      </c>
      <c r="BJ21" s="13" t="str">
        <f aca="false">IF(MONTH(BJ22)&lt;&gt;MONTH(BI22),TEXT(BJ22,"mmm yy"),"")</f>
        <v/>
      </c>
      <c r="BK21" s="13" t="str">
        <f aca="false">IF(MONTH(BK22)&lt;&gt;MONTH(BJ22),TEXT(BK22,"mmm yy"),"")</f>
        <v/>
      </c>
      <c r="BL21" s="13" t="str">
        <f aca="false">IF(MONTH(BL22)&lt;&gt;MONTH(BK22),TEXT(BL22,"mmm yy"),"")</f>
        <v/>
      </c>
      <c r="BM21" s="13" t="str">
        <f aca="false">IF(MONTH(BM22)&lt;&gt;MONTH(BL22),TEXT(BM22,"mmm yy"),"")</f>
        <v>Feb 28</v>
      </c>
      <c r="BN21" s="13" t="str">
        <f aca="false">IF(MONTH(BN22)&lt;&gt;MONTH(BM22),TEXT(BN22,"mmm yy"),"")</f>
        <v/>
      </c>
      <c r="BO21" s="13" t="str">
        <f aca="false">IF(MONTH(BO22)&lt;&gt;MONTH(BN22),TEXT(BO22,"mmm yy"),"")</f>
        <v/>
      </c>
      <c r="BP21" s="13" t="str">
        <f aca="false">IF(MONTH(BP22)&lt;&gt;MONTH(BO22),TEXT(BP22,"mmm yy"),"")</f>
        <v/>
      </c>
      <c r="BQ21" s="13" t="str">
        <f aca="false">IF(MONTH(BQ22)&lt;&gt;MONTH(BP22),TEXT(BQ22,"mmm yy"),"")</f>
        <v>Mar 28</v>
      </c>
      <c r="BR21" s="13" t="str">
        <f aca="false">IF(MONTH(BR22)&lt;&gt;MONTH(BQ22),TEXT(BR22,"mmm yy"),"")</f>
        <v/>
      </c>
      <c r="BS21" s="13" t="str">
        <f aca="false">IF(MONTH(BS22)&lt;&gt;MONTH(BR22),TEXT(BS22,"mmm yy"),"")</f>
        <v/>
      </c>
      <c r="BT21" s="13" t="str">
        <f aca="false">IF(MONTH(BT22)&lt;&gt;MONTH(BS22),TEXT(BT22,"mmm yy"),"")</f>
        <v/>
      </c>
      <c r="BU21" s="13" t="str">
        <f aca="false">IF(MONTH(BU22)&lt;&gt;MONTH(BT22),TEXT(BU22,"mmm yy"),"")</f>
        <v>Apr 28</v>
      </c>
      <c r="BV21" s="13" t="str">
        <f aca="false">IF(MONTH(BV22)&lt;&gt;MONTH(BU22),TEXT(BV22,"mmm yy"),"")</f>
        <v/>
      </c>
      <c r="BW21" s="13" t="str">
        <f aca="false">IF(MONTH(BW22)&lt;&gt;MONTH(BV22),TEXT(BW22,"mmm yy"),"")</f>
        <v/>
      </c>
      <c r="BX21" s="13" t="str">
        <f aca="false">IF(MONTH(BX22)&lt;&gt;MONTH(BW22),TEXT(BX22,"mmm yy"),"")</f>
        <v/>
      </c>
      <c r="BY21" s="13" t="str">
        <f aca="false">IF(MONTH(BY22)&lt;&gt;MONTH(BX22),TEXT(BY22,"mmm yy"),"")</f>
        <v>May 28</v>
      </c>
      <c r="BZ21" s="13" t="str">
        <f aca="false">IF(MONTH(BZ22)&lt;&gt;MONTH(BY22),TEXT(BZ22,"mmm yy"),"")</f>
        <v/>
      </c>
      <c r="CA21" s="13" t="str">
        <f aca="false">IF(MONTH(CA22)&lt;&gt;MONTH(BZ22),TEXT(CA22,"mmm yy"),"")</f>
        <v/>
      </c>
      <c r="CB21" s="13" t="str">
        <f aca="false">IF(MONTH(CB22)&lt;&gt;MONTH(CA22),TEXT(CB22,"mmm yy"),"")</f>
        <v/>
      </c>
      <c r="CC21" s="13" t="str">
        <f aca="false">IF(MONTH(CC22)&lt;&gt;MONTH(CB22),TEXT(CC22,"mmm yy"),"")</f>
        <v/>
      </c>
    </row>
    <row r="22" customFormat="false" ht="15" hidden="false" customHeight="false" outlineLevel="0" collapsed="false">
      <c r="B22" s="6" t="s">
        <v>42</v>
      </c>
      <c r="C22" s="6" t="s">
        <v>43</v>
      </c>
      <c r="D22" s="14" t="n">
        <f aca="false">MIN(B8,C8)-WEEKDAY(MIN(B8,C8),3)</f>
        <v>46363</v>
      </c>
      <c r="E22" s="14" t="n">
        <f aca="false">D22+7</f>
        <v>46370</v>
      </c>
      <c r="F22" s="14" t="n">
        <f aca="false">E22+7</f>
        <v>46377</v>
      </c>
      <c r="G22" s="14" t="n">
        <f aca="false">F22+7</f>
        <v>46384</v>
      </c>
      <c r="H22" s="14" t="n">
        <f aca="false">G22+7</f>
        <v>46391</v>
      </c>
      <c r="I22" s="14" t="n">
        <f aca="false">H22+7</f>
        <v>46398</v>
      </c>
      <c r="J22" s="14" t="n">
        <f aca="false">I22+7</f>
        <v>46405</v>
      </c>
      <c r="K22" s="14" t="n">
        <f aca="false">J22+7</f>
        <v>46412</v>
      </c>
      <c r="L22" s="14" t="n">
        <f aca="false">K22+7</f>
        <v>46419</v>
      </c>
      <c r="M22" s="14" t="n">
        <f aca="false">L22+7</f>
        <v>46426</v>
      </c>
      <c r="N22" s="14" t="n">
        <f aca="false">M22+7</f>
        <v>46433</v>
      </c>
      <c r="O22" s="14" t="n">
        <f aca="false">N22+7</f>
        <v>46440</v>
      </c>
      <c r="P22" s="14" t="n">
        <f aca="false">O22+7</f>
        <v>46447</v>
      </c>
      <c r="Q22" s="14" t="n">
        <f aca="false">P22+7</f>
        <v>46454</v>
      </c>
      <c r="R22" s="14" t="n">
        <f aca="false">Q22+7</f>
        <v>46461</v>
      </c>
      <c r="S22" s="14" t="n">
        <f aca="false">R22+7</f>
        <v>46468</v>
      </c>
      <c r="T22" s="14" t="n">
        <f aca="false">S22+7</f>
        <v>46475</v>
      </c>
      <c r="U22" s="14" t="n">
        <f aca="false">T22+7</f>
        <v>46482</v>
      </c>
      <c r="V22" s="14" t="n">
        <f aca="false">U22+7</f>
        <v>46489</v>
      </c>
      <c r="W22" s="14" t="n">
        <f aca="false">V22+7</f>
        <v>46496</v>
      </c>
      <c r="X22" s="14" t="n">
        <f aca="false">W22+7</f>
        <v>46503</v>
      </c>
      <c r="Y22" s="14" t="n">
        <f aca="false">X22+7</f>
        <v>46510</v>
      </c>
      <c r="Z22" s="14" t="n">
        <f aca="false">Y22+7</f>
        <v>46517</v>
      </c>
      <c r="AA22" s="14" t="n">
        <f aca="false">Z22+7</f>
        <v>46524</v>
      </c>
      <c r="AB22" s="14" t="n">
        <f aca="false">AA22+7</f>
        <v>46531</v>
      </c>
      <c r="AC22" s="14" t="n">
        <f aca="false">AB22+7</f>
        <v>46538</v>
      </c>
      <c r="AD22" s="14" t="n">
        <f aca="false">AC22+7</f>
        <v>46545</v>
      </c>
      <c r="AE22" s="14" t="n">
        <f aca="false">AD22+7</f>
        <v>46552</v>
      </c>
      <c r="AF22" s="14" t="n">
        <f aca="false">AE22+7</f>
        <v>46559</v>
      </c>
      <c r="AG22" s="14" t="n">
        <f aca="false">AF22+7</f>
        <v>46566</v>
      </c>
      <c r="AH22" s="14" t="n">
        <f aca="false">AG22+7</f>
        <v>46573</v>
      </c>
      <c r="AI22" s="14" t="n">
        <f aca="false">AH22+7</f>
        <v>46580</v>
      </c>
      <c r="AJ22" s="14" t="n">
        <f aca="false">AI22+7</f>
        <v>46587</v>
      </c>
      <c r="AK22" s="14" t="n">
        <f aca="false">AJ22+7</f>
        <v>46594</v>
      </c>
      <c r="AL22" s="14" t="n">
        <f aca="false">AK22+7</f>
        <v>46601</v>
      </c>
      <c r="AM22" s="14" t="n">
        <f aca="false">AL22+7</f>
        <v>46608</v>
      </c>
      <c r="AN22" s="14" t="n">
        <f aca="false">AM22+7</f>
        <v>46615</v>
      </c>
      <c r="AO22" s="14" t="n">
        <f aca="false">AN22+7</f>
        <v>46622</v>
      </c>
      <c r="AP22" s="14" t="n">
        <f aca="false">AO22+7</f>
        <v>46629</v>
      </c>
      <c r="AQ22" s="14" t="n">
        <f aca="false">AP22+7</f>
        <v>46636</v>
      </c>
      <c r="AR22" s="14" t="n">
        <f aca="false">AQ22+7</f>
        <v>46643</v>
      </c>
      <c r="AS22" s="14" t="n">
        <f aca="false">AR22+7</f>
        <v>46650</v>
      </c>
      <c r="AT22" s="14" t="n">
        <f aca="false">AS22+7</f>
        <v>46657</v>
      </c>
      <c r="AU22" s="14" t="n">
        <f aca="false">AT22+7</f>
        <v>46664</v>
      </c>
      <c r="AV22" s="14" t="n">
        <f aca="false">AU22+7</f>
        <v>46671</v>
      </c>
      <c r="AW22" s="14" t="n">
        <f aca="false">AV22+7</f>
        <v>46678</v>
      </c>
      <c r="AX22" s="14" t="n">
        <f aca="false">AW22+7</f>
        <v>46685</v>
      </c>
      <c r="AY22" s="14" t="n">
        <f aca="false">AX22+7</f>
        <v>46692</v>
      </c>
      <c r="AZ22" s="14" t="n">
        <f aca="false">AY22+7</f>
        <v>46699</v>
      </c>
      <c r="BA22" s="14" t="n">
        <f aca="false">AZ22+7</f>
        <v>46706</v>
      </c>
      <c r="BB22" s="14" t="n">
        <f aca="false">BA22+7</f>
        <v>46713</v>
      </c>
      <c r="BC22" s="14" t="n">
        <f aca="false">BB22+7</f>
        <v>46720</v>
      </c>
      <c r="BD22" s="14" t="n">
        <f aca="false">BC22+7</f>
        <v>46727</v>
      </c>
      <c r="BE22" s="14" t="n">
        <f aca="false">BD22+7</f>
        <v>46734</v>
      </c>
      <c r="BF22" s="14" t="n">
        <f aca="false">BE22+7</f>
        <v>46741</v>
      </c>
      <c r="BG22" s="14" t="n">
        <f aca="false">BF22+7</f>
        <v>46748</v>
      </c>
      <c r="BH22" s="14" t="n">
        <f aca="false">BG22+7</f>
        <v>46755</v>
      </c>
      <c r="BI22" s="14" t="n">
        <f aca="false">BH22+7</f>
        <v>46762</v>
      </c>
      <c r="BJ22" s="14" t="n">
        <f aca="false">BI22+7</f>
        <v>46769</v>
      </c>
      <c r="BK22" s="14" t="n">
        <f aca="false">BJ22+7</f>
        <v>46776</v>
      </c>
      <c r="BL22" s="14" t="n">
        <f aca="false">BK22+7</f>
        <v>46783</v>
      </c>
      <c r="BM22" s="14" t="n">
        <f aca="false">BL22+7</f>
        <v>46790</v>
      </c>
      <c r="BN22" s="14" t="n">
        <f aca="false">BM22+7</f>
        <v>46797</v>
      </c>
      <c r="BO22" s="14" t="n">
        <f aca="false">BN22+7</f>
        <v>46804</v>
      </c>
      <c r="BP22" s="14" t="n">
        <f aca="false">BO22+7</f>
        <v>46811</v>
      </c>
      <c r="BQ22" s="14" t="n">
        <f aca="false">BP22+7</f>
        <v>46818</v>
      </c>
      <c r="BR22" s="14" t="n">
        <f aca="false">BQ22+7</f>
        <v>46825</v>
      </c>
      <c r="BS22" s="14" t="n">
        <f aca="false">BR22+7</f>
        <v>46832</v>
      </c>
      <c r="BT22" s="14" t="n">
        <f aca="false">BS22+7</f>
        <v>46839</v>
      </c>
      <c r="BU22" s="14" t="n">
        <f aca="false">BT22+7</f>
        <v>46846</v>
      </c>
      <c r="BV22" s="14" t="n">
        <f aca="false">BU22+7</f>
        <v>46853</v>
      </c>
      <c r="BW22" s="14" t="n">
        <f aca="false">BV22+7</f>
        <v>46860</v>
      </c>
      <c r="BX22" s="14" t="n">
        <f aca="false">BW22+7</f>
        <v>46867</v>
      </c>
      <c r="BY22" s="14" t="n">
        <f aca="false">BX22+7</f>
        <v>46874</v>
      </c>
      <c r="BZ22" s="14" t="n">
        <f aca="false">BY22+7</f>
        <v>46881</v>
      </c>
      <c r="CA22" s="14" t="n">
        <f aca="false">BZ22+7</f>
        <v>46888</v>
      </c>
      <c r="CB22" s="14" t="n">
        <f aca="false">CA22+7</f>
        <v>46895</v>
      </c>
      <c r="CC22" s="14" t="n">
        <f aca="false">CB22+7</f>
        <v>46902</v>
      </c>
    </row>
    <row r="23" customFormat="false" ht="15" hidden="false" customHeight="false" outlineLevel="0" collapsed="false">
      <c r="A23" s="15" t="s">
        <v>44</v>
      </c>
      <c r="B23" s="16" t="n">
        <f aca="false">B8</f>
        <v>46366</v>
      </c>
      <c r="C23" s="16" t="n">
        <f aca="false">B9</f>
        <v>46394</v>
      </c>
    </row>
    <row r="24" customFormat="false" ht="15" hidden="false" customHeight="false" outlineLevel="0" collapsed="false">
      <c r="A24" s="15" t="s">
        <v>45</v>
      </c>
      <c r="B24" s="16" t="n">
        <f aca="false">B10</f>
        <v>46402</v>
      </c>
      <c r="C24" s="16" t="n">
        <f aca="false">B11</f>
        <v>46485</v>
      </c>
    </row>
    <row r="25" customFormat="false" ht="15" hidden="false" customHeight="false" outlineLevel="0" collapsed="false">
      <c r="A25" s="15" t="s">
        <v>46</v>
      </c>
      <c r="B25" s="16" t="n">
        <f aca="false">B12</f>
        <v>46490</v>
      </c>
      <c r="C25" s="16" t="n">
        <f aca="false">B13</f>
        <v>46605</v>
      </c>
    </row>
    <row r="26" customFormat="false" ht="15" hidden="false" customHeight="false" outlineLevel="0" collapsed="false">
      <c r="A26" s="15" t="s">
        <v>47</v>
      </c>
      <c r="B26" s="16" t="n">
        <f aca="false">C8</f>
        <v>46419</v>
      </c>
      <c r="C26" s="16" t="n">
        <f aca="false">C9</f>
        <v>46477</v>
      </c>
    </row>
    <row r="27" customFormat="false" ht="15" hidden="false" customHeight="false" outlineLevel="0" collapsed="false">
      <c r="A27" s="15" t="s">
        <v>48</v>
      </c>
      <c r="B27" s="16" t="n">
        <f aca="false">C10</f>
        <v>46485</v>
      </c>
      <c r="C27" s="16" t="n">
        <f aca="false">C11</f>
        <v>46563</v>
      </c>
    </row>
    <row r="28" customFormat="false" ht="15" hidden="false" customHeight="false" outlineLevel="0" collapsed="false">
      <c r="A28" s="15" t="s">
        <v>49</v>
      </c>
      <c r="B28" s="16" t="n">
        <f aca="false">C12</f>
        <v>46568</v>
      </c>
      <c r="C28" s="16" t="n">
        <f aca="false">C13</f>
        <v>46682</v>
      </c>
    </row>
  </sheetData>
  <conditionalFormatting sqref="D23:CC23">
    <cfRule type="expression" priority="2" aboveAverage="0" equalAverage="0" bottom="0" percent="0" rank="0" text="" dxfId="0">
      <formula>AND($B23&lt;D$22+7,$C23&gt;=D$22)</formula>
    </cfRule>
  </conditionalFormatting>
  <conditionalFormatting sqref="D24:CC24">
    <cfRule type="expression" priority="3" aboveAverage="0" equalAverage="0" bottom="0" percent="0" rank="0" text="" dxfId="1">
      <formula>AND($B24&lt;D$22+7,$C24&gt;=D$22)</formula>
    </cfRule>
  </conditionalFormatting>
  <conditionalFormatting sqref="D25:CC25">
    <cfRule type="expression" priority="4" aboveAverage="0" equalAverage="0" bottom="0" percent="0" rank="0" text="" dxfId="2">
      <formula>AND($B25&lt;D$22+7,$C25&gt;=D$22)</formula>
    </cfRule>
  </conditionalFormatting>
  <conditionalFormatting sqref="D26:CC26">
    <cfRule type="expression" priority="5" aboveAverage="0" equalAverage="0" bottom="0" percent="0" rank="0" text="" dxfId="0">
      <formula>AND($B26&lt;D$22+7,$C26&gt;=D$22)</formula>
    </cfRule>
  </conditionalFormatting>
  <conditionalFormatting sqref="D27:CC27">
    <cfRule type="expression" priority="6" aboveAverage="0" equalAverage="0" bottom="0" percent="0" rank="0" text="" dxfId="1">
      <formula>AND($B27&lt;D$22+7,$C27&gt;=D$22)</formula>
    </cfRule>
  </conditionalFormatting>
  <conditionalFormatting sqref="D28:CC28">
    <cfRule type="expression" priority="7" aboveAverage="0" equalAverage="0" bottom="0" percent="0" rank="0" text="" dxfId="2">
      <formula>AND($B28&lt;D$22+7,$C28&gt;=D$22)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5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30"/>
  </cols>
  <sheetData>
    <row r="1" customFormat="false" ht="19.7" hidden="false" customHeight="false" outlineLevel="0" collapsed="false">
      <c r="A1" s="1" t="s">
        <v>50</v>
      </c>
    </row>
    <row r="2" customFormat="false" ht="15" hidden="false" customHeight="false" outlineLevel="0" collapsed="false">
      <c r="A2" s="4" t="s">
        <v>51</v>
      </c>
    </row>
    <row r="4" customFormat="false" ht="15" hidden="false" customHeight="false" outlineLevel="0" collapsed="false">
      <c r="A4" s="5" t="s">
        <v>52</v>
      </c>
      <c r="B4" s="5" t="s">
        <v>53</v>
      </c>
      <c r="C4" s="5" t="s">
        <v>54</v>
      </c>
      <c r="D4" s="5" t="s">
        <v>55</v>
      </c>
      <c r="E4" s="5" t="s">
        <v>56</v>
      </c>
      <c r="F4" s="5" t="s">
        <v>57</v>
      </c>
      <c r="G4" s="5" t="s">
        <v>58</v>
      </c>
    </row>
    <row r="5" customFormat="false" ht="23.85" hidden="false" customHeight="false" outlineLevel="0" collapsed="false">
      <c r="A5" s="17" t="n">
        <v>1</v>
      </c>
      <c r="B5" s="17" t="s">
        <v>59</v>
      </c>
      <c r="C5" s="17" t="s">
        <v>60</v>
      </c>
      <c r="D5" s="17" t="s">
        <v>61</v>
      </c>
      <c r="E5" s="17" t="s">
        <v>62</v>
      </c>
      <c r="F5" s="18"/>
      <c r="G5" s="17"/>
    </row>
    <row r="6" customFormat="false" ht="15" hidden="false" customHeight="false" outlineLevel="0" collapsed="false">
      <c r="A6" s="17" t="n">
        <v>2</v>
      </c>
      <c r="B6" s="17" t="s">
        <v>59</v>
      </c>
      <c r="C6" s="17" t="s">
        <v>63</v>
      </c>
      <c r="D6" s="17" t="s">
        <v>64</v>
      </c>
      <c r="E6" s="17" t="s">
        <v>65</v>
      </c>
      <c r="F6" s="18"/>
      <c r="G6" s="17"/>
    </row>
    <row r="7" customFormat="false" ht="23.85" hidden="false" customHeight="false" outlineLevel="0" collapsed="false">
      <c r="A7" s="17" t="n">
        <v>3</v>
      </c>
      <c r="B7" s="17" t="s">
        <v>59</v>
      </c>
      <c r="C7" s="17" t="s">
        <v>66</v>
      </c>
      <c r="D7" s="17" t="s">
        <v>67</v>
      </c>
      <c r="E7" s="17" t="s">
        <v>65</v>
      </c>
      <c r="F7" s="18"/>
      <c r="G7" s="17"/>
    </row>
    <row r="8" customFormat="false" ht="15" hidden="false" customHeight="false" outlineLevel="0" collapsed="false">
      <c r="A8" s="17" t="n">
        <v>4</v>
      </c>
      <c r="B8" s="17" t="s">
        <v>59</v>
      </c>
      <c r="C8" s="17" t="s">
        <v>68</v>
      </c>
      <c r="D8" s="17" t="s">
        <v>69</v>
      </c>
      <c r="E8" s="17" t="s">
        <v>70</v>
      </c>
      <c r="F8" s="18"/>
      <c r="G8" s="17"/>
    </row>
    <row r="9" customFormat="false" ht="23.85" hidden="false" customHeight="false" outlineLevel="0" collapsed="false">
      <c r="A9" s="17" t="n">
        <v>5</v>
      </c>
      <c r="B9" s="17" t="s">
        <v>59</v>
      </c>
      <c r="C9" s="17" t="s">
        <v>71</v>
      </c>
      <c r="D9" s="17" t="s">
        <v>72</v>
      </c>
      <c r="E9" s="17" t="s">
        <v>65</v>
      </c>
      <c r="F9" s="18"/>
      <c r="G9" s="17"/>
    </row>
    <row r="10" customFormat="false" ht="23.85" hidden="false" customHeight="false" outlineLevel="0" collapsed="false">
      <c r="A10" s="17" t="n">
        <v>6</v>
      </c>
      <c r="B10" s="17" t="s">
        <v>59</v>
      </c>
      <c r="C10" s="17" t="s">
        <v>73</v>
      </c>
      <c r="D10" s="17" t="s">
        <v>74</v>
      </c>
      <c r="E10" s="17" t="s">
        <v>65</v>
      </c>
      <c r="F10" s="18"/>
      <c r="G10" s="17"/>
    </row>
    <row r="11" customFormat="false" ht="23.85" hidden="false" customHeight="false" outlineLevel="0" collapsed="false">
      <c r="A11" s="17" t="n">
        <v>7</v>
      </c>
      <c r="B11" s="17" t="s">
        <v>59</v>
      </c>
      <c r="C11" s="17" t="s">
        <v>75</v>
      </c>
      <c r="D11" s="17" t="s">
        <v>76</v>
      </c>
      <c r="E11" s="17" t="s">
        <v>65</v>
      </c>
      <c r="F11" s="18"/>
      <c r="G11" s="17"/>
    </row>
    <row r="12" customFormat="false" ht="15" hidden="false" customHeight="false" outlineLevel="0" collapsed="false">
      <c r="A12" s="17" t="n">
        <v>8</v>
      </c>
      <c r="B12" s="17" t="s">
        <v>59</v>
      </c>
      <c r="C12" s="17" t="s">
        <v>77</v>
      </c>
      <c r="D12" s="17" t="s">
        <v>78</v>
      </c>
      <c r="E12" s="17" t="s">
        <v>65</v>
      </c>
      <c r="F12" s="18"/>
      <c r="G12" s="17"/>
    </row>
    <row r="13" customFormat="false" ht="15" hidden="false" customHeight="false" outlineLevel="0" collapsed="false">
      <c r="A13" s="17" t="n">
        <v>9</v>
      </c>
      <c r="B13" s="17" t="s">
        <v>59</v>
      </c>
      <c r="C13" s="17" t="s">
        <v>79</v>
      </c>
      <c r="D13" s="17" t="s">
        <v>80</v>
      </c>
      <c r="E13" s="17" t="s">
        <v>65</v>
      </c>
      <c r="F13" s="18"/>
      <c r="G13" s="17"/>
    </row>
    <row r="14" customFormat="false" ht="23.85" hidden="false" customHeight="false" outlineLevel="0" collapsed="false">
      <c r="A14" s="17" t="n">
        <v>10</v>
      </c>
      <c r="B14" s="17" t="s">
        <v>59</v>
      </c>
      <c r="C14" s="17" t="s">
        <v>81</v>
      </c>
      <c r="D14" s="17" t="s">
        <v>82</v>
      </c>
      <c r="E14" s="17" t="s">
        <v>83</v>
      </c>
      <c r="F14" s="18"/>
      <c r="G14" s="17"/>
    </row>
    <row r="15" customFormat="false" ht="23.85" hidden="false" customHeight="false" outlineLevel="0" collapsed="false">
      <c r="A15" s="17" t="n">
        <v>11</v>
      </c>
      <c r="B15" s="17" t="s">
        <v>59</v>
      </c>
      <c r="C15" s="17" t="s">
        <v>84</v>
      </c>
      <c r="D15" s="17" t="s">
        <v>85</v>
      </c>
      <c r="E15" s="17" t="s">
        <v>86</v>
      </c>
      <c r="F15" s="18"/>
      <c r="G15" s="17"/>
    </row>
    <row r="16" customFormat="false" ht="15" hidden="false" customHeight="false" outlineLevel="0" collapsed="false">
      <c r="A16" s="17" t="n">
        <v>12</v>
      </c>
      <c r="B16" s="17" t="s">
        <v>59</v>
      </c>
      <c r="C16" s="17" t="s">
        <v>87</v>
      </c>
      <c r="D16" s="17" t="s">
        <v>88</v>
      </c>
      <c r="E16" s="17" t="s">
        <v>65</v>
      </c>
      <c r="F16" s="18"/>
      <c r="G16" s="17"/>
    </row>
    <row r="17" customFormat="false" ht="15" hidden="false" customHeight="false" outlineLevel="0" collapsed="false">
      <c r="A17" s="17" t="n">
        <v>13</v>
      </c>
      <c r="B17" s="17" t="s">
        <v>89</v>
      </c>
      <c r="C17" s="17" t="s">
        <v>90</v>
      </c>
      <c r="D17" s="17" t="s">
        <v>91</v>
      </c>
      <c r="E17" s="17" t="s">
        <v>86</v>
      </c>
      <c r="F17" s="18"/>
      <c r="G17" s="17"/>
    </row>
    <row r="18" customFormat="false" ht="15" hidden="false" customHeight="false" outlineLevel="0" collapsed="false">
      <c r="A18" s="17" t="n">
        <v>14</v>
      </c>
      <c r="B18" s="17" t="s">
        <v>89</v>
      </c>
      <c r="C18" s="17" t="s">
        <v>92</v>
      </c>
      <c r="D18" s="17" t="s">
        <v>93</v>
      </c>
      <c r="E18" s="17" t="s">
        <v>94</v>
      </c>
      <c r="F18" s="18"/>
      <c r="G18" s="17"/>
    </row>
    <row r="19" customFormat="false" ht="15" hidden="false" customHeight="false" outlineLevel="0" collapsed="false">
      <c r="A19" s="17" t="n">
        <v>15</v>
      </c>
      <c r="B19" s="17" t="s">
        <v>89</v>
      </c>
      <c r="C19" s="17" t="s">
        <v>95</v>
      </c>
      <c r="D19" s="17" t="s">
        <v>96</v>
      </c>
      <c r="E19" s="17" t="s">
        <v>97</v>
      </c>
      <c r="F19" s="18"/>
      <c r="G19" s="17"/>
    </row>
    <row r="20" customFormat="false" ht="15" hidden="false" customHeight="false" outlineLevel="0" collapsed="false">
      <c r="A20" s="17" t="n">
        <v>16</v>
      </c>
      <c r="B20" s="17" t="s">
        <v>89</v>
      </c>
      <c r="C20" s="17" t="s">
        <v>98</v>
      </c>
      <c r="D20" s="17"/>
      <c r="E20" s="17" t="s">
        <v>99</v>
      </c>
      <c r="F20" s="18"/>
      <c r="G20" s="17"/>
    </row>
    <row r="21" customFormat="false" ht="15" hidden="false" customHeight="false" outlineLevel="0" collapsed="false">
      <c r="A21" s="17" t="n">
        <v>17</v>
      </c>
      <c r="B21" s="17" t="s">
        <v>100</v>
      </c>
      <c r="C21" s="17" t="s">
        <v>101</v>
      </c>
      <c r="D21" s="17" t="s">
        <v>102</v>
      </c>
      <c r="E21" s="17" t="s">
        <v>103</v>
      </c>
      <c r="F21" s="18"/>
      <c r="G21" s="17"/>
    </row>
    <row r="22" customFormat="false" ht="15" hidden="false" customHeight="false" outlineLevel="0" collapsed="false">
      <c r="A22" s="17" t="n">
        <v>18</v>
      </c>
      <c r="B22" s="17" t="s">
        <v>100</v>
      </c>
      <c r="C22" s="17" t="s">
        <v>104</v>
      </c>
      <c r="D22" s="17" t="s">
        <v>105</v>
      </c>
      <c r="E22" s="17" t="s">
        <v>106</v>
      </c>
      <c r="F22" s="18"/>
      <c r="G22" s="17"/>
    </row>
    <row r="23" customFormat="false" ht="23.85" hidden="false" customHeight="false" outlineLevel="0" collapsed="false">
      <c r="A23" s="17" t="n">
        <v>19</v>
      </c>
      <c r="B23" s="17" t="s">
        <v>107</v>
      </c>
      <c r="C23" s="17" t="s">
        <v>108</v>
      </c>
      <c r="D23" s="17" t="s">
        <v>109</v>
      </c>
      <c r="E23" s="17" t="s">
        <v>110</v>
      </c>
      <c r="F23" s="18"/>
      <c r="G23" s="17"/>
    </row>
    <row r="24" customFormat="false" ht="15" hidden="false" customHeight="false" outlineLevel="0" collapsed="false">
      <c r="A24" s="17" t="n">
        <v>20</v>
      </c>
      <c r="B24" s="17" t="s">
        <v>107</v>
      </c>
      <c r="C24" s="17" t="s">
        <v>111</v>
      </c>
      <c r="D24" s="17" t="s">
        <v>112</v>
      </c>
      <c r="E24" s="17" t="s">
        <v>113</v>
      </c>
      <c r="F24" s="18"/>
      <c r="G24" s="17"/>
    </row>
    <row r="25" customFormat="false" ht="15" hidden="false" customHeight="false" outlineLevel="0" collapsed="false">
      <c r="A25" s="17" t="n">
        <v>21</v>
      </c>
      <c r="B25" s="17" t="s">
        <v>107</v>
      </c>
      <c r="C25" s="17" t="s">
        <v>114</v>
      </c>
      <c r="D25" s="17" t="s">
        <v>115</v>
      </c>
      <c r="E25" s="17" t="s">
        <v>116</v>
      </c>
      <c r="F25" s="18"/>
      <c r="G25" s="17"/>
    </row>
    <row r="26" customFormat="false" ht="15" hidden="false" customHeight="false" outlineLevel="0" collapsed="false">
      <c r="A26" s="17" t="n">
        <v>22</v>
      </c>
      <c r="B26" s="17" t="s">
        <v>117</v>
      </c>
      <c r="C26" s="17" t="s">
        <v>118</v>
      </c>
      <c r="D26" s="17" t="s">
        <v>119</v>
      </c>
      <c r="E26" s="17" t="s">
        <v>120</v>
      </c>
      <c r="F26" s="18"/>
      <c r="G26" s="17"/>
    </row>
    <row r="27" customFormat="false" ht="23.85" hidden="false" customHeight="false" outlineLevel="0" collapsed="false">
      <c r="A27" s="17" t="n">
        <v>23</v>
      </c>
      <c r="B27" s="17" t="s">
        <v>117</v>
      </c>
      <c r="C27" s="17" t="s">
        <v>121</v>
      </c>
      <c r="D27" s="17" t="s">
        <v>122</v>
      </c>
      <c r="E27" s="17" t="s">
        <v>123</v>
      </c>
      <c r="F27" s="18"/>
      <c r="G27" s="17"/>
    </row>
    <row r="28" customFormat="false" ht="15" hidden="false" customHeight="false" outlineLevel="0" collapsed="false">
      <c r="A28" s="17" t="n">
        <v>24</v>
      </c>
      <c r="B28" s="17" t="s">
        <v>117</v>
      </c>
      <c r="C28" s="17" t="s">
        <v>124</v>
      </c>
      <c r="D28" s="17" t="s">
        <v>125</v>
      </c>
      <c r="E28" s="17" t="s">
        <v>126</v>
      </c>
      <c r="F28" s="18"/>
      <c r="G28" s="17"/>
    </row>
  </sheetData>
  <conditionalFormatting sqref="A5:G28">
    <cfRule type="expression" priority="2" aboveAverage="0" equalAverage="0" bottom="0" percent="0" rank="0" text="" dxfId="3">
      <formula>$F5="Y"</formula>
    </cfRule>
  </conditionalFormatting>
  <dataValidations count="1">
    <dataValidation allowBlank="true" errorStyle="stop" operator="between" showDropDown="false" showErrorMessage="false" showInputMessage="false" sqref="F5:F2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0" topLeftCell="D21" activePane="bottomRight" state="frozen"/>
      <selection pane="topLeft" activeCell="A1" activeCellId="0" sqref="A1"/>
      <selection pane="topRight" activeCell="D1" activeCellId="0" sqref="D1"/>
      <selection pane="bottomLeft" activeCell="A21" activeCellId="0" sqref="A2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5" min="4" style="0" width="1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8"/>
    <col collapsed="false" customWidth="true" hidden="false" outlineLevel="0" max="14" min="14" style="0" width="8"/>
    <col collapsed="false" customWidth="true" hidden="false" outlineLevel="0" max="17" min="15" style="0" width="12"/>
    <col collapsed="false" customWidth="true" hidden="false" outlineLevel="0" max="18" min="18" style="0" width="38"/>
    <col collapsed="false" customWidth="true" hidden="false" outlineLevel="0" max="19" min="19" style="0" width="48"/>
    <col collapsed="false" customWidth="true" hidden="false" outlineLevel="0" max="20" min="20" style="0" width="2"/>
    <col collapsed="false" customWidth="true" hidden="false" outlineLevel="0" max="80" min="21" style="0" width="3.2"/>
  </cols>
  <sheetData>
    <row r="1" customFormat="false" ht="19.7" hidden="false" customHeight="false" outlineLevel="0" collapsed="false">
      <c r="A1" s="1" t="s">
        <v>127</v>
      </c>
    </row>
    <row r="2" customFormat="false" ht="15" hidden="false" customHeight="false" outlineLevel="0" collapsed="false">
      <c r="A2" s="4" t="s">
        <v>128</v>
      </c>
    </row>
    <row r="4" customFormat="false" ht="15" hidden="false" customHeight="false" outlineLevel="0" collapsed="false">
      <c r="B4" s="19" t="s">
        <v>129</v>
      </c>
      <c r="C4" s="20"/>
      <c r="E4" s="19" t="s">
        <v>130</v>
      </c>
      <c r="F4" s="20"/>
      <c r="H4" s="19" t="s">
        <v>131</v>
      </c>
      <c r="I4" s="20"/>
    </row>
    <row r="5" customFormat="false" ht="15" hidden="false" customHeight="false" outlineLevel="0" collapsed="false">
      <c r="B5" s="15" t="s">
        <v>132</v>
      </c>
      <c r="C5" s="21" t="s">
        <v>133</v>
      </c>
      <c r="E5" s="15" t="s">
        <v>134</v>
      </c>
      <c r="F5" s="18" t="s">
        <v>135</v>
      </c>
      <c r="H5" s="15" t="s">
        <v>31</v>
      </c>
      <c r="I5" s="22" t="n">
        <f aca="false">$P$32</f>
        <v>46394</v>
      </c>
    </row>
    <row r="6" customFormat="false" ht="15" hidden="false" customHeight="false" outlineLevel="0" collapsed="false">
      <c r="B6" s="15" t="s">
        <v>136</v>
      </c>
      <c r="C6" s="21" t="s">
        <v>137</v>
      </c>
      <c r="E6" s="15" t="s">
        <v>138</v>
      </c>
      <c r="F6" s="18" t="s">
        <v>139</v>
      </c>
      <c r="H6" s="15" t="s">
        <v>140</v>
      </c>
      <c r="I6" s="22" t="n">
        <f aca="false">$O$40</f>
        <v>46402</v>
      </c>
    </row>
    <row r="7" customFormat="false" ht="15" hidden="false" customHeight="false" outlineLevel="0" collapsed="false">
      <c r="B7" s="15" t="s">
        <v>141</v>
      </c>
      <c r="C7" s="23" t="n">
        <v>46366</v>
      </c>
      <c r="E7" s="15" t="s">
        <v>142</v>
      </c>
      <c r="F7" s="18" t="s">
        <v>135</v>
      </c>
      <c r="H7" s="15" t="s">
        <v>33</v>
      </c>
      <c r="I7" s="22" t="n">
        <f aca="false">$O$63</f>
        <v>46485</v>
      </c>
    </row>
    <row r="8" customFormat="false" ht="15" hidden="false" customHeight="false" outlineLevel="0" collapsed="false">
      <c r="B8" s="15" t="s">
        <v>143</v>
      </c>
      <c r="C8" s="24" t="n">
        <v>28</v>
      </c>
      <c r="E8" s="15" t="s">
        <v>144</v>
      </c>
      <c r="F8" s="18" t="s">
        <v>139</v>
      </c>
      <c r="H8" s="15" t="s">
        <v>34</v>
      </c>
      <c r="I8" s="22" t="n">
        <f aca="false">$O$67</f>
        <v>46490</v>
      </c>
    </row>
    <row r="9" customFormat="false" ht="15" hidden="false" customHeight="false" outlineLevel="0" collapsed="false">
      <c r="B9" s="15" t="s">
        <v>145</v>
      </c>
      <c r="C9" s="24" t="n">
        <v>10</v>
      </c>
      <c r="E9" s="15" t="s">
        <v>146</v>
      </c>
      <c r="F9" s="18" t="s">
        <v>139</v>
      </c>
      <c r="H9" s="15" t="s">
        <v>147</v>
      </c>
      <c r="I9" s="22" t="n">
        <f aca="false">$P$68</f>
        <v>46533</v>
      </c>
    </row>
    <row r="10" customFormat="false" ht="15" hidden="false" customHeight="false" outlineLevel="0" collapsed="false">
      <c r="B10" s="15" t="s">
        <v>148</v>
      </c>
      <c r="C10" s="25" t="n">
        <v>0.15</v>
      </c>
      <c r="E10" s="15" t="s">
        <v>149</v>
      </c>
      <c r="F10" s="18" t="s">
        <v>135</v>
      </c>
      <c r="H10" s="15" t="s">
        <v>35</v>
      </c>
      <c r="I10" s="22" t="n">
        <f aca="false">$P$72</f>
        <v>46605</v>
      </c>
    </row>
    <row r="11" customFormat="false" ht="15" hidden="false" customHeight="false" outlineLevel="0" collapsed="false">
      <c r="B11" s="15" t="s">
        <v>150</v>
      </c>
      <c r="C11" s="24" t="n">
        <v>3</v>
      </c>
      <c r="E11" s="15" t="s">
        <v>151</v>
      </c>
      <c r="F11" s="18" t="s">
        <v>135</v>
      </c>
      <c r="H11" s="15" t="s">
        <v>152</v>
      </c>
      <c r="I11" s="26" t="n">
        <f aca="false">NETWORKDAYS($I$6,$I$7,Holidays!$B$5:$B$60)</f>
        <v>58</v>
      </c>
    </row>
    <row r="12" customFormat="false" ht="15" hidden="false" customHeight="false" outlineLevel="0" collapsed="false">
      <c r="B12" s="15" t="s">
        <v>153</v>
      </c>
      <c r="C12" s="24" t="n">
        <v>30</v>
      </c>
      <c r="E12" s="15" t="s">
        <v>154</v>
      </c>
      <c r="F12" s="18" t="s">
        <v>135</v>
      </c>
      <c r="H12" s="15" t="s">
        <v>155</v>
      </c>
      <c r="I12" s="27" t="n">
        <f aca="false">($I$10-$I$5)/30.44</f>
        <v>6.93166885676741</v>
      </c>
    </row>
    <row r="13" customFormat="false" ht="15" hidden="false" customHeight="false" outlineLevel="0" collapsed="false">
      <c r="B13" s="15" t="s">
        <v>156</v>
      </c>
      <c r="C13" s="24" t="n">
        <v>12</v>
      </c>
      <c r="E13" s="15" t="s">
        <v>157</v>
      </c>
      <c r="F13" s="18" t="s">
        <v>135</v>
      </c>
      <c r="H13" s="15" t="s">
        <v>37</v>
      </c>
      <c r="I13" s="28" t="n">
        <f aca="false">$C$13-$I$12</f>
        <v>5.06833114323259</v>
      </c>
    </row>
    <row r="14" customFormat="false" ht="15" hidden="false" customHeight="false" outlineLevel="0" collapsed="false">
      <c r="B14" s="15" t="s">
        <v>29</v>
      </c>
      <c r="C14" s="21" t="s">
        <v>158</v>
      </c>
      <c r="H14" s="15" t="s">
        <v>159</v>
      </c>
      <c r="I14" s="26" t="n">
        <f aca="false">$I$10-$C$7</f>
        <v>239</v>
      </c>
    </row>
    <row r="15" customFormat="false" ht="15" hidden="false" customHeight="false" outlineLevel="0" collapsed="false">
      <c r="B15" s="15" t="s">
        <v>160</v>
      </c>
      <c r="C15" s="24" t="n">
        <v>10</v>
      </c>
    </row>
    <row r="17" customFormat="false" ht="25.5" hidden="false" customHeight="true" outlineLevel="0" collapsed="false">
      <c r="B17" s="6" t="s">
        <v>161</v>
      </c>
      <c r="C17" s="29" t="s">
        <v>162</v>
      </c>
      <c r="D17" s="30" t="s">
        <v>163</v>
      </c>
      <c r="E17" s="31" t="s">
        <v>164</v>
      </c>
      <c r="F17" s="32" t="s">
        <v>165</v>
      </c>
      <c r="G17" s="33" t="s">
        <v>166</v>
      </c>
      <c r="H17" s="34" t="s">
        <v>167</v>
      </c>
      <c r="I17" s="35" t="s">
        <v>168</v>
      </c>
      <c r="J17" s="36" t="s">
        <v>169</v>
      </c>
      <c r="K17" s="37" t="s">
        <v>170</v>
      </c>
    </row>
    <row r="19" customFormat="false" ht="15" hidden="false" customHeight="false" outlineLevel="0" collapsed="false">
      <c r="U19" s="37" t="str">
        <f aca="false">TEXT(U20,"mmm yy")</f>
        <v>Dec 26</v>
      </c>
      <c r="V19" s="37" t="str">
        <f aca="false">IF(MONTH(V20)&lt;&gt;MONTH(U20),TEXT(V20,"mmm yy"),"")</f>
        <v/>
      </c>
      <c r="W19" s="37" t="str">
        <f aca="false">IF(MONTH(W20)&lt;&gt;MONTH(V20),TEXT(W20,"mmm yy"),"")</f>
        <v/>
      </c>
      <c r="X19" s="37" t="str">
        <f aca="false">IF(MONTH(X20)&lt;&gt;MONTH(W20),TEXT(X20,"mmm yy"),"")</f>
        <v/>
      </c>
      <c r="Y19" s="37" t="str">
        <f aca="false">IF(MONTH(Y20)&lt;&gt;MONTH(X20),TEXT(Y20,"mmm yy"),"")</f>
        <v>Jan 27</v>
      </c>
      <c r="Z19" s="37" t="str">
        <f aca="false">IF(MONTH(Z20)&lt;&gt;MONTH(Y20),TEXT(Z20,"mmm yy"),"")</f>
        <v/>
      </c>
      <c r="AA19" s="37" t="str">
        <f aca="false">IF(MONTH(AA20)&lt;&gt;MONTH(Z20),TEXT(AA20,"mmm yy"),"")</f>
        <v/>
      </c>
      <c r="AB19" s="37" t="str">
        <f aca="false">IF(MONTH(AB20)&lt;&gt;MONTH(AA20),TEXT(AB20,"mmm yy"),"")</f>
        <v/>
      </c>
      <c r="AC19" s="37" t="str">
        <f aca="false">IF(MONTH(AC20)&lt;&gt;MONTH(AB20),TEXT(AC20,"mmm yy"),"")</f>
        <v>Feb 27</v>
      </c>
      <c r="AD19" s="37" t="str">
        <f aca="false">IF(MONTH(AD20)&lt;&gt;MONTH(AC20),TEXT(AD20,"mmm yy"),"")</f>
        <v/>
      </c>
      <c r="AE19" s="37" t="str">
        <f aca="false">IF(MONTH(AE20)&lt;&gt;MONTH(AD20),TEXT(AE20,"mmm yy"),"")</f>
        <v/>
      </c>
      <c r="AF19" s="37" t="str">
        <f aca="false">IF(MONTH(AF20)&lt;&gt;MONTH(AE20),TEXT(AF20,"mmm yy"),"")</f>
        <v/>
      </c>
      <c r="AG19" s="37" t="str">
        <f aca="false">IF(MONTH(AG20)&lt;&gt;MONTH(AF20),TEXT(AG20,"mmm yy"),"")</f>
        <v>Mar 27</v>
      </c>
      <c r="AH19" s="37" t="str">
        <f aca="false">IF(MONTH(AH20)&lt;&gt;MONTH(AG20),TEXT(AH20,"mmm yy"),"")</f>
        <v/>
      </c>
      <c r="AI19" s="37" t="str">
        <f aca="false">IF(MONTH(AI20)&lt;&gt;MONTH(AH20),TEXT(AI20,"mmm yy"),"")</f>
        <v/>
      </c>
      <c r="AJ19" s="37" t="str">
        <f aca="false">IF(MONTH(AJ20)&lt;&gt;MONTH(AI20),TEXT(AJ20,"mmm yy"),"")</f>
        <v/>
      </c>
      <c r="AK19" s="37" t="str">
        <f aca="false">IF(MONTH(AK20)&lt;&gt;MONTH(AJ20),TEXT(AK20,"mmm yy"),"")</f>
        <v/>
      </c>
      <c r="AL19" s="37" t="str">
        <f aca="false">IF(MONTH(AL20)&lt;&gt;MONTH(AK20),TEXT(AL20,"mmm yy"),"")</f>
        <v>Apr 27</v>
      </c>
      <c r="AM19" s="37" t="str">
        <f aca="false">IF(MONTH(AM20)&lt;&gt;MONTH(AL20),TEXT(AM20,"mmm yy"),"")</f>
        <v/>
      </c>
      <c r="AN19" s="37" t="str">
        <f aca="false">IF(MONTH(AN20)&lt;&gt;MONTH(AM20),TEXT(AN20,"mmm yy"),"")</f>
        <v/>
      </c>
      <c r="AO19" s="37" t="str">
        <f aca="false">IF(MONTH(AO20)&lt;&gt;MONTH(AN20),TEXT(AO20,"mmm yy"),"")</f>
        <v/>
      </c>
      <c r="AP19" s="37" t="str">
        <f aca="false">IF(MONTH(AP20)&lt;&gt;MONTH(AO20),TEXT(AP20,"mmm yy"),"")</f>
        <v>May 27</v>
      </c>
      <c r="AQ19" s="37" t="str">
        <f aca="false">IF(MONTH(AQ20)&lt;&gt;MONTH(AP20),TEXT(AQ20,"mmm yy"),"")</f>
        <v/>
      </c>
      <c r="AR19" s="37" t="str">
        <f aca="false">IF(MONTH(AR20)&lt;&gt;MONTH(AQ20),TEXT(AR20,"mmm yy"),"")</f>
        <v/>
      </c>
      <c r="AS19" s="37" t="str">
        <f aca="false">IF(MONTH(AS20)&lt;&gt;MONTH(AR20),TEXT(AS20,"mmm yy"),"")</f>
        <v/>
      </c>
      <c r="AT19" s="37" t="str">
        <f aca="false">IF(MONTH(AT20)&lt;&gt;MONTH(AS20),TEXT(AT20,"mmm yy"),"")</f>
        <v/>
      </c>
      <c r="AU19" s="37" t="str">
        <f aca="false">IF(MONTH(AU20)&lt;&gt;MONTH(AT20),TEXT(AU20,"mmm yy"),"")</f>
        <v>Jun 27</v>
      </c>
      <c r="AV19" s="37" t="str">
        <f aca="false">IF(MONTH(AV20)&lt;&gt;MONTH(AU20),TEXT(AV20,"mmm yy"),"")</f>
        <v/>
      </c>
      <c r="AW19" s="37" t="str">
        <f aca="false">IF(MONTH(AW20)&lt;&gt;MONTH(AV20),TEXT(AW20,"mmm yy"),"")</f>
        <v/>
      </c>
      <c r="AX19" s="37" t="str">
        <f aca="false">IF(MONTH(AX20)&lt;&gt;MONTH(AW20),TEXT(AX20,"mmm yy"),"")</f>
        <v/>
      </c>
      <c r="AY19" s="37" t="str">
        <f aca="false">IF(MONTH(AY20)&lt;&gt;MONTH(AX20),TEXT(AY20,"mmm yy"),"")</f>
        <v>Jul 27</v>
      </c>
      <c r="AZ19" s="37" t="str">
        <f aca="false">IF(MONTH(AZ20)&lt;&gt;MONTH(AY20),TEXT(AZ20,"mmm yy"),"")</f>
        <v/>
      </c>
      <c r="BA19" s="37" t="str">
        <f aca="false">IF(MONTH(BA20)&lt;&gt;MONTH(AZ20),TEXT(BA20,"mmm yy"),"")</f>
        <v/>
      </c>
      <c r="BB19" s="37" t="str">
        <f aca="false">IF(MONTH(BB20)&lt;&gt;MONTH(BA20),TEXT(BB20,"mmm yy"),"")</f>
        <v/>
      </c>
      <c r="BC19" s="37" t="str">
        <f aca="false">IF(MONTH(BC20)&lt;&gt;MONTH(BB20),TEXT(BC20,"mmm yy"),"")</f>
        <v>Aug 27</v>
      </c>
      <c r="BD19" s="37" t="str">
        <f aca="false">IF(MONTH(BD20)&lt;&gt;MONTH(BC20),TEXT(BD20,"mmm yy"),"")</f>
        <v/>
      </c>
      <c r="BE19" s="37" t="str">
        <f aca="false">IF(MONTH(BE20)&lt;&gt;MONTH(BD20),TEXT(BE20,"mmm yy"),"")</f>
        <v/>
      </c>
      <c r="BF19" s="37" t="str">
        <f aca="false">IF(MONTH(BF20)&lt;&gt;MONTH(BE20),TEXT(BF20,"mmm yy"),"")</f>
        <v/>
      </c>
      <c r="BG19" s="37" t="str">
        <f aca="false">IF(MONTH(BG20)&lt;&gt;MONTH(BF20),TEXT(BG20,"mmm yy"),"")</f>
        <v/>
      </c>
      <c r="BH19" s="37" t="str">
        <f aca="false">IF(MONTH(BH20)&lt;&gt;MONTH(BG20),TEXT(BH20,"mmm yy"),"")</f>
        <v>Sep 27</v>
      </c>
      <c r="BI19" s="37" t="str">
        <f aca="false">IF(MONTH(BI20)&lt;&gt;MONTH(BH20),TEXT(BI20,"mmm yy"),"")</f>
        <v/>
      </c>
      <c r="BJ19" s="37" t="str">
        <f aca="false">IF(MONTH(BJ20)&lt;&gt;MONTH(BI20),TEXT(BJ20,"mmm yy"),"")</f>
        <v/>
      </c>
      <c r="BK19" s="37" t="str">
        <f aca="false">IF(MONTH(BK20)&lt;&gt;MONTH(BJ20),TEXT(BK20,"mmm yy"),"")</f>
        <v/>
      </c>
      <c r="BL19" s="37" t="str">
        <f aca="false">IF(MONTH(BL20)&lt;&gt;MONTH(BK20),TEXT(BL20,"mmm yy"),"")</f>
        <v>Oct 27</v>
      </c>
      <c r="BM19" s="37" t="str">
        <f aca="false">IF(MONTH(BM20)&lt;&gt;MONTH(BL20),TEXT(BM20,"mmm yy"),"")</f>
        <v/>
      </c>
      <c r="BN19" s="37" t="str">
        <f aca="false">IF(MONTH(BN20)&lt;&gt;MONTH(BM20),TEXT(BN20,"mmm yy"),"")</f>
        <v/>
      </c>
      <c r="BO19" s="37" t="str">
        <f aca="false">IF(MONTH(BO20)&lt;&gt;MONTH(BN20),TEXT(BO20,"mmm yy"),"")</f>
        <v/>
      </c>
      <c r="BP19" s="37" t="str">
        <f aca="false">IF(MONTH(BP20)&lt;&gt;MONTH(BO20),TEXT(BP20,"mmm yy"),"")</f>
        <v>Nov 27</v>
      </c>
      <c r="BQ19" s="37" t="str">
        <f aca="false">IF(MONTH(BQ20)&lt;&gt;MONTH(BP20),TEXT(BQ20,"mmm yy"),"")</f>
        <v/>
      </c>
      <c r="BR19" s="37" t="str">
        <f aca="false">IF(MONTH(BR20)&lt;&gt;MONTH(BQ20),TEXT(BR20,"mmm yy"),"")</f>
        <v/>
      </c>
      <c r="BS19" s="37" t="str">
        <f aca="false">IF(MONTH(BS20)&lt;&gt;MONTH(BR20),TEXT(BS20,"mmm yy"),"")</f>
        <v/>
      </c>
      <c r="BT19" s="37" t="str">
        <f aca="false">IF(MONTH(BT20)&lt;&gt;MONTH(BS20),TEXT(BT20,"mmm yy"),"")</f>
        <v/>
      </c>
      <c r="BU19" s="37" t="str">
        <f aca="false">IF(MONTH(BU20)&lt;&gt;MONTH(BT20),TEXT(BU20,"mmm yy"),"")</f>
        <v>Dec 27</v>
      </c>
      <c r="BV19" s="37" t="str">
        <f aca="false">IF(MONTH(BV20)&lt;&gt;MONTH(BU20),TEXT(BV20,"mmm yy"),"")</f>
        <v/>
      </c>
      <c r="BW19" s="37" t="str">
        <f aca="false">IF(MONTH(BW20)&lt;&gt;MONTH(BV20),TEXT(BW20,"mmm yy"),"")</f>
        <v/>
      </c>
      <c r="BX19" s="37" t="str">
        <f aca="false">IF(MONTH(BX20)&lt;&gt;MONTH(BW20),TEXT(BX20,"mmm yy"),"")</f>
        <v/>
      </c>
      <c r="BY19" s="37" t="str">
        <f aca="false">IF(MONTH(BY20)&lt;&gt;MONTH(BX20),TEXT(BY20,"mmm yy"),"")</f>
        <v>Jan 28</v>
      </c>
      <c r="BZ19" s="37" t="str">
        <f aca="false">IF(MONTH(BZ20)&lt;&gt;MONTH(BY20),TEXT(BZ20,"mmm yy"),"")</f>
        <v/>
      </c>
      <c r="CA19" s="37" t="str">
        <f aca="false">IF(MONTH(CA20)&lt;&gt;MONTH(BZ20),TEXT(CA20,"mmm yy"),"")</f>
        <v/>
      </c>
      <c r="CB19" s="37" t="str">
        <f aca="false">IF(MONTH(CB20)&lt;&gt;MONTH(CA20),TEXT(CB20,"mmm yy"),"")</f>
        <v/>
      </c>
    </row>
    <row r="20" customFormat="false" ht="42" hidden="false" customHeight="true" outlineLevel="0" collapsed="false">
      <c r="A20" s="38" t="s">
        <v>171</v>
      </c>
      <c r="B20" s="38" t="s">
        <v>172</v>
      </c>
      <c r="C20" s="38" t="s">
        <v>173</v>
      </c>
      <c r="D20" s="38" t="s">
        <v>174</v>
      </c>
      <c r="E20" s="38" t="s">
        <v>28</v>
      </c>
      <c r="F20" s="38" t="s">
        <v>175</v>
      </c>
      <c r="G20" s="38" t="s">
        <v>176</v>
      </c>
      <c r="H20" s="38" t="s">
        <v>177</v>
      </c>
      <c r="I20" s="38" t="s">
        <v>178</v>
      </c>
      <c r="J20" s="38" t="s">
        <v>179</v>
      </c>
      <c r="K20" s="38" t="s">
        <v>180</v>
      </c>
      <c r="L20" s="38" t="s">
        <v>181</v>
      </c>
      <c r="M20" s="38" t="s">
        <v>182</v>
      </c>
      <c r="N20" s="38" t="s">
        <v>183</v>
      </c>
      <c r="O20" s="38" t="s">
        <v>42</v>
      </c>
      <c r="P20" s="38" t="s">
        <v>184</v>
      </c>
      <c r="Q20" s="38" t="s">
        <v>185</v>
      </c>
      <c r="R20" s="38" t="s">
        <v>186</v>
      </c>
      <c r="S20" s="38" t="s">
        <v>187</v>
      </c>
      <c r="U20" s="39" t="n">
        <f aca="false">$O$21-WEEKDAY($O$21,3)</f>
        <v>46363</v>
      </c>
      <c r="V20" s="39" t="n">
        <f aca="false">U20+7</f>
        <v>46370</v>
      </c>
      <c r="W20" s="39" t="n">
        <f aca="false">V20+7</f>
        <v>46377</v>
      </c>
      <c r="X20" s="39" t="n">
        <f aca="false">W20+7</f>
        <v>46384</v>
      </c>
      <c r="Y20" s="39" t="n">
        <f aca="false">X20+7</f>
        <v>46391</v>
      </c>
      <c r="Z20" s="39" t="n">
        <f aca="false">Y20+7</f>
        <v>46398</v>
      </c>
      <c r="AA20" s="39" t="n">
        <f aca="false">Z20+7</f>
        <v>46405</v>
      </c>
      <c r="AB20" s="39" t="n">
        <f aca="false">AA20+7</f>
        <v>46412</v>
      </c>
      <c r="AC20" s="39" t="n">
        <f aca="false">AB20+7</f>
        <v>46419</v>
      </c>
      <c r="AD20" s="39" t="n">
        <f aca="false">AC20+7</f>
        <v>46426</v>
      </c>
      <c r="AE20" s="39" t="n">
        <f aca="false">AD20+7</f>
        <v>46433</v>
      </c>
      <c r="AF20" s="39" t="n">
        <f aca="false">AE20+7</f>
        <v>46440</v>
      </c>
      <c r="AG20" s="39" t="n">
        <f aca="false">AF20+7</f>
        <v>46447</v>
      </c>
      <c r="AH20" s="39" t="n">
        <f aca="false">AG20+7</f>
        <v>46454</v>
      </c>
      <c r="AI20" s="39" t="n">
        <f aca="false">AH20+7</f>
        <v>46461</v>
      </c>
      <c r="AJ20" s="39" t="n">
        <f aca="false">AI20+7</f>
        <v>46468</v>
      </c>
      <c r="AK20" s="39" t="n">
        <f aca="false">AJ20+7</f>
        <v>46475</v>
      </c>
      <c r="AL20" s="39" t="n">
        <f aca="false">AK20+7</f>
        <v>46482</v>
      </c>
      <c r="AM20" s="39" t="n">
        <f aca="false">AL20+7</f>
        <v>46489</v>
      </c>
      <c r="AN20" s="39" t="n">
        <f aca="false">AM20+7</f>
        <v>46496</v>
      </c>
      <c r="AO20" s="39" t="n">
        <f aca="false">AN20+7</f>
        <v>46503</v>
      </c>
      <c r="AP20" s="39" t="n">
        <f aca="false">AO20+7</f>
        <v>46510</v>
      </c>
      <c r="AQ20" s="39" t="n">
        <f aca="false">AP20+7</f>
        <v>46517</v>
      </c>
      <c r="AR20" s="39" t="n">
        <f aca="false">AQ20+7</f>
        <v>46524</v>
      </c>
      <c r="AS20" s="39" t="n">
        <f aca="false">AR20+7</f>
        <v>46531</v>
      </c>
      <c r="AT20" s="39" t="n">
        <f aca="false">AS20+7</f>
        <v>46538</v>
      </c>
      <c r="AU20" s="39" t="n">
        <f aca="false">AT20+7</f>
        <v>46545</v>
      </c>
      <c r="AV20" s="39" t="n">
        <f aca="false">AU20+7</f>
        <v>46552</v>
      </c>
      <c r="AW20" s="39" t="n">
        <f aca="false">AV20+7</f>
        <v>46559</v>
      </c>
      <c r="AX20" s="39" t="n">
        <f aca="false">AW20+7</f>
        <v>46566</v>
      </c>
      <c r="AY20" s="39" t="n">
        <f aca="false">AX20+7</f>
        <v>46573</v>
      </c>
      <c r="AZ20" s="39" t="n">
        <f aca="false">AY20+7</f>
        <v>46580</v>
      </c>
      <c r="BA20" s="39" t="n">
        <f aca="false">AZ20+7</f>
        <v>46587</v>
      </c>
      <c r="BB20" s="39" t="n">
        <f aca="false">BA20+7</f>
        <v>46594</v>
      </c>
      <c r="BC20" s="39" t="n">
        <f aca="false">BB20+7</f>
        <v>46601</v>
      </c>
      <c r="BD20" s="39" t="n">
        <f aca="false">BC20+7</f>
        <v>46608</v>
      </c>
      <c r="BE20" s="39" t="n">
        <f aca="false">BD20+7</f>
        <v>46615</v>
      </c>
      <c r="BF20" s="39" t="n">
        <f aca="false">BE20+7</f>
        <v>46622</v>
      </c>
      <c r="BG20" s="39" t="n">
        <f aca="false">BF20+7</f>
        <v>46629</v>
      </c>
      <c r="BH20" s="39" t="n">
        <f aca="false">BG20+7</f>
        <v>46636</v>
      </c>
      <c r="BI20" s="39" t="n">
        <f aca="false">BH20+7</f>
        <v>46643</v>
      </c>
      <c r="BJ20" s="39" t="n">
        <f aca="false">BI20+7</f>
        <v>46650</v>
      </c>
      <c r="BK20" s="39" t="n">
        <f aca="false">BJ20+7</f>
        <v>46657</v>
      </c>
      <c r="BL20" s="39" t="n">
        <f aca="false">BK20+7</f>
        <v>46664</v>
      </c>
      <c r="BM20" s="39" t="n">
        <f aca="false">BL20+7</f>
        <v>46671</v>
      </c>
      <c r="BN20" s="39" t="n">
        <f aca="false">BM20+7</f>
        <v>46678</v>
      </c>
      <c r="BO20" s="39" t="n">
        <f aca="false">BN20+7</f>
        <v>46685</v>
      </c>
      <c r="BP20" s="39" t="n">
        <f aca="false">BO20+7</f>
        <v>46692</v>
      </c>
      <c r="BQ20" s="39" t="n">
        <f aca="false">BP20+7</f>
        <v>46699</v>
      </c>
      <c r="BR20" s="39" t="n">
        <f aca="false">BQ20+7</f>
        <v>46706</v>
      </c>
      <c r="BS20" s="39" t="n">
        <f aca="false">BR20+7</f>
        <v>46713</v>
      </c>
      <c r="BT20" s="39" t="n">
        <f aca="false">BS20+7</f>
        <v>46720</v>
      </c>
      <c r="BU20" s="39" t="n">
        <f aca="false">BT20+7</f>
        <v>46727</v>
      </c>
      <c r="BV20" s="39" t="n">
        <f aca="false">BU20+7</f>
        <v>46734</v>
      </c>
      <c r="BW20" s="39" t="n">
        <f aca="false">BV20+7</f>
        <v>46741</v>
      </c>
      <c r="BX20" s="39" t="n">
        <f aca="false">BW20+7</f>
        <v>46748</v>
      </c>
      <c r="BY20" s="39" t="n">
        <f aca="false">BX20+7</f>
        <v>46755</v>
      </c>
      <c r="BZ20" s="39" t="n">
        <f aca="false">BY20+7</f>
        <v>46762</v>
      </c>
      <c r="CA20" s="39" t="n">
        <f aca="false">BZ20+7</f>
        <v>46769</v>
      </c>
      <c r="CB20" s="39" t="n">
        <f aca="false">CA20+7</f>
        <v>46776</v>
      </c>
    </row>
    <row r="21" customFormat="false" ht="27.75" hidden="false" customHeight="true" outlineLevel="0" collapsed="false">
      <c r="A21" s="40" t="s">
        <v>188</v>
      </c>
      <c r="B21" s="40" t="s">
        <v>162</v>
      </c>
      <c r="C21" s="17" t="s">
        <v>189</v>
      </c>
      <c r="D21" s="40" t="s">
        <v>190</v>
      </c>
      <c r="E21" s="40" t="s">
        <v>191</v>
      </c>
      <c r="F21" s="40"/>
      <c r="G21" s="40"/>
      <c r="H21" s="21" t="n">
        <v>0</v>
      </c>
      <c r="I21" s="21" t="n">
        <v>0</v>
      </c>
      <c r="J21" s="40" t="s">
        <v>139</v>
      </c>
      <c r="K21" s="40" t="str">
        <f aca="false">IF(AND(OR($E21="Both",$E21=$C$6),OR($F21="",IFERROR(INDEX($F$5:$F$13,MATCH($F21,$E$5:$E$13,0)),"Y")="Y")),"Y","N")</f>
        <v>Y</v>
      </c>
      <c r="L21" s="40" t="n">
        <f aca="false">IF($K21="N",0,IF(IF($C$6="Auction",$H21,$I21)=0,0,ROUNDUP(IF($C$6="Auction",$H21,$I21)*(1+IF($J21="Y",$C$10,0)),0)))</f>
        <v>0</v>
      </c>
      <c r="M21" s="40" t="s">
        <v>65</v>
      </c>
      <c r="N21" s="21" t="n">
        <v>0</v>
      </c>
      <c r="O21" s="41" t="n">
        <f aca="false">WORKDAY($C$7-1,1,Holidays!$B$5:$B$60)</f>
        <v>46366</v>
      </c>
      <c r="P21" s="41" t="n">
        <f aca="false">IF($K21="N",WORKDAY($O21,-1,Holidays!$B$5:$B$60),IF($L21=0,$O21,WORKDAY($O21,$L21-1,Holidays!$B$5:$B$60)))</f>
        <v>46366</v>
      </c>
      <c r="Q21" s="21" t="s">
        <v>192</v>
      </c>
      <c r="R21" s="42" t="str">
        <f aca="false">IF(AND($G21="HOLD",$K21="Y"),"■ HOLD: go/no-go. ","")</f>
        <v/>
      </c>
      <c r="S21" s="43" t="s">
        <v>193</v>
      </c>
    </row>
    <row r="22" customFormat="false" ht="27.75" hidden="false" customHeight="true" outlineLevel="0" collapsed="false">
      <c r="A22" s="40" t="s">
        <v>86</v>
      </c>
      <c r="B22" s="40" t="s">
        <v>162</v>
      </c>
      <c r="C22" s="17" t="s">
        <v>194</v>
      </c>
      <c r="D22" s="40" t="s">
        <v>195</v>
      </c>
      <c r="E22" s="40" t="s">
        <v>191</v>
      </c>
      <c r="F22" s="40"/>
      <c r="G22" s="40"/>
      <c r="H22" s="21" t="n">
        <v>1</v>
      </c>
      <c r="I22" s="21" t="n">
        <v>1</v>
      </c>
      <c r="J22" s="40" t="s">
        <v>139</v>
      </c>
      <c r="K22" s="40" t="str">
        <f aca="false">IF(AND(OR($E22="Both",$E22=$C$6),OR($F22="",IFERROR(INDEX($F$5:$F$13,MATCH($F22,$E$5:$E$13,0)),"Y")="Y")),"Y","N")</f>
        <v>Y</v>
      </c>
      <c r="L22" s="40" t="n">
        <f aca="false">IF($K22="N",0,IF(IF($C$6="Auction",$H22,$I22)=0,0,ROUNDUP(IF($C$6="Auction",$H22,$I22)*(1+IF($J22="Y",$C$10,0)),0)))</f>
        <v>1</v>
      </c>
      <c r="M22" s="40" t="s">
        <v>196</v>
      </c>
      <c r="N22" s="21" t="n">
        <v>0</v>
      </c>
      <c r="O22" s="41" t="n">
        <f aca="false">WORKDAY($O$21,$N22,Holidays!$B$5:$B$60)</f>
        <v>46366</v>
      </c>
      <c r="P22" s="41" t="n">
        <f aca="false">IF($K22="N",WORKDAY($O22,-1,Holidays!$B$5:$B$60),IF($L22=0,$O22,WORKDAY($O22,$L22-1,Holidays!$B$5:$B$60)))</f>
        <v>46366</v>
      </c>
      <c r="Q22" s="21" t="s">
        <v>192</v>
      </c>
      <c r="R22" s="42" t="str">
        <f aca="false">IF(AND($G22="HOLD",$K22="Y"),"■ HOLD: go/no-go. ","")</f>
        <v/>
      </c>
      <c r="S22" s="43" t="s">
        <v>197</v>
      </c>
    </row>
    <row r="23" customFormat="false" ht="27.75" hidden="false" customHeight="true" outlineLevel="0" collapsed="false">
      <c r="A23" s="40" t="s">
        <v>198</v>
      </c>
      <c r="B23" s="40" t="s">
        <v>162</v>
      </c>
      <c r="C23" s="17" t="s">
        <v>199</v>
      </c>
      <c r="D23" s="40" t="s">
        <v>190</v>
      </c>
      <c r="E23" s="40" t="s">
        <v>137</v>
      </c>
      <c r="F23" s="40"/>
      <c r="G23" s="40"/>
      <c r="H23" s="21" t="n">
        <v>1</v>
      </c>
      <c r="I23" s="21" t="n">
        <v>0</v>
      </c>
      <c r="J23" s="40" t="s">
        <v>139</v>
      </c>
      <c r="K23" s="40" t="str">
        <f aca="false">IF(AND(OR($E23="Both",$E23=$C$6),OR($F23="",IFERROR(INDEX($F$5:$F$13,MATCH($F23,$E$5:$E$13,0)),"Y")="Y")),"Y","N")</f>
        <v>Y</v>
      </c>
      <c r="L23" s="40" t="n">
        <f aca="false">IF($K23="N",0,IF(IF($C$6="Auction",$H23,$I23)=0,0,ROUNDUP(IF($C$6="Auction",$H23,$I23)*(1+IF($J23="Y",$C$10,0)),0)))</f>
        <v>1</v>
      </c>
      <c r="M23" s="40" t="s">
        <v>196</v>
      </c>
      <c r="N23" s="21" t="n">
        <v>0</v>
      </c>
      <c r="O23" s="41" t="n">
        <f aca="false">WORKDAY($O$21,$N23,Holidays!$B$5:$B$60)</f>
        <v>46366</v>
      </c>
      <c r="P23" s="41" t="n">
        <f aca="false">IF($K23="N",WORKDAY($O23,-1,Holidays!$B$5:$B$60),IF($L23=0,$O23,WORKDAY($O23,$L23-1,Holidays!$B$5:$B$60)))</f>
        <v>46366</v>
      </c>
      <c r="Q23" s="21" t="s">
        <v>192</v>
      </c>
      <c r="R23" s="42" t="str">
        <f aca="false">IF(AND($G23="HOLD",$K23="Y"),"■ HOLD: go/no-go. ","")</f>
        <v/>
      </c>
      <c r="S23" s="43" t="s">
        <v>200</v>
      </c>
    </row>
    <row r="24" customFormat="false" ht="27.75" hidden="false" customHeight="true" outlineLevel="0" collapsed="false">
      <c r="A24" s="40" t="s">
        <v>201</v>
      </c>
      <c r="B24" s="40" t="s">
        <v>162</v>
      </c>
      <c r="C24" s="17" t="s">
        <v>202</v>
      </c>
      <c r="D24" s="40" t="s">
        <v>190</v>
      </c>
      <c r="E24" s="40" t="s">
        <v>191</v>
      </c>
      <c r="F24" s="40"/>
      <c r="G24" s="40"/>
      <c r="H24" s="21" t="n">
        <v>2</v>
      </c>
      <c r="I24" s="21" t="n">
        <v>2</v>
      </c>
      <c r="J24" s="40" t="s">
        <v>139</v>
      </c>
      <c r="K24" s="40" t="str">
        <f aca="false">IF(AND(OR($E24="Both",$E24=$C$6),OR($F24="",IFERROR(INDEX($F$5:$F$13,MATCH($F24,$E$5:$E$13,0)),"Y")="Y")),"Y","N")</f>
        <v>Y</v>
      </c>
      <c r="L24" s="40" t="n">
        <f aca="false">IF($K24="N",0,IF(IF($C$6="Auction",$H24,$I24)=0,0,ROUNDUP(IF($C$6="Auction",$H24,$I24)*(1+IF($J24="Y",$C$10,0)),0)))</f>
        <v>2</v>
      </c>
      <c r="M24" s="40" t="s">
        <v>196</v>
      </c>
      <c r="N24" s="21" t="n">
        <v>0</v>
      </c>
      <c r="O24" s="41" t="n">
        <f aca="false">WORKDAY($O$21,$N24,Holidays!$B$5:$B$60)</f>
        <v>46366</v>
      </c>
      <c r="P24" s="41" t="n">
        <f aca="false">IF($K24="N",WORKDAY($O24,-1,Holidays!$B$5:$B$60),IF($L24=0,$O24,WORKDAY($O24,$L24-1,Holidays!$B$5:$B$60)))</f>
        <v>46367</v>
      </c>
      <c r="Q24" s="21" t="s">
        <v>192</v>
      </c>
      <c r="R24" s="42" t="str">
        <f aca="false">IF(AND($G24="HOLD",$K24="Y"),"■ HOLD: go/no-go. ","")</f>
        <v/>
      </c>
      <c r="S24" s="43"/>
    </row>
    <row r="25" customFormat="false" ht="27.75" hidden="false" customHeight="true" outlineLevel="0" collapsed="false">
      <c r="A25" s="40" t="s">
        <v>83</v>
      </c>
      <c r="B25" s="40" t="s">
        <v>162</v>
      </c>
      <c r="C25" s="17" t="s">
        <v>203</v>
      </c>
      <c r="D25" s="40" t="s">
        <v>204</v>
      </c>
      <c r="E25" s="40" t="s">
        <v>191</v>
      </c>
      <c r="F25" s="40"/>
      <c r="G25" s="40"/>
      <c r="H25" s="21" t="n">
        <v>5</v>
      </c>
      <c r="I25" s="21" t="n">
        <v>5</v>
      </c>
      <c r="J25" s="40" t="s">
        <v>139</v>
      </c>
      <c r="K25" s="40" t="str">
        <f aca="false">IF(AND(OR($E25="Both",$E25=$C$6),OR($F25="",IFERROR(INDEX($F$5:$F$13,MATCH($F25,$E$5:$E$13,0)),"Y")="Y")),"Y","N")</f>
        <v>Y</v>
      </c>
      <c r="L25" s="40" t="n">
        <f aca="false">IF($K25="N",0,IF(IF($C$6="Auction",$H25,$I25)=0,0,ROUNDUP(IF($C$6="Auction",$H25,$I25)*(1+IF($J25="Y",$C$10,0)),0)))</f>
        <v>5</v>
      </c>
      <c r="M25" s="40" t="s">
        <v>205</v>
      </c>
      <c r="N25" s="21" t="n">
        <v>1</v>
      </c>
      <c r="O25" s="41" t="n">
        <f aca="false">WORKDAY($O$24,$N25,Holidays!$B$5:$B$60)</f>
        <v>46367</v>
      </c>
      <c r="P25" s="41" t="n">
        <f aca="false">IF($K25="N",WORKDAY($O25,-1,Holidays!$B$5:$B$60),IF($L25=0,$O25,WORKDAY($O25,$L25-1,Holidays!$B$5:$B$60)))</f>
        <v>46373</v>
      </c>
      <c r="Q25" s="21" t="s">
        <v>192</v>
      </c>
      <c r="R25" s="42" t="str">
        <f aca="false">IF(AND($G25="HOLD",$K25="Y"),"■ HOLD: go/no-go. ","")</f>
        <v/>
      </c>
      <c r="S25" s="43" t="s">
        <v>206</v>
      </c>
    </row>
    <row r="26" customFormat="false" ht="27.75" hidden="false" customHeight="true" outlineLevel="0" collapsed="false">
      <c r="A26" s="40" t="s">
        <v>207</v>
      </c>
      <c r="B26" s="40" t="s">
        <v>162</v>
      </c>
      <c r="C26" s="17" t="s">
        <v>208</v>
      </c>
      <c r="D26" s="40" t="s">
        <v>209</v>
      </c>
      <c r="E26" s="40" t="s">
        <v>191</v>
      </c>
      <c r="F26" s="40"/>
      <c r="G26" s="40"/>
      <c r="H26" s="21" t="n">
        <v>5</v>
      </c>
      <c r="I26" s="21" t="n">
        <v>5</v>
      </c>
      <c r="J26" s="40" t="s">
        <v>139</v>
      </c>
      <c r="K26" s="40" t="str">
        <f aca="false">IF(AND(OR($E26="Both",$E26=$C$6),OR($F26="",IFERROR(INDEX($F$5:$F$13,MATCH($F26,$E$5:$E$13,0)),"Y")="Y")),"Y","N")</f>
        <v>Y</v>
      </c>
      <c r="L26" s="40" t="n">
        <f aca="false">IF($K26="N",0,IF(IF($C$6="Auction",$H26,$I26)=0,0,ROUNDUP(IF($C$6="Auction",$H26,$I26)*(1+IF($J26="Y",$C$10,0)),0)))</f>
        <v>5</v>
      </c>
      <c r="M26" s="40" t="s">
        <v>210</v>
      </c>
      <c r="N26" s="21" t="n">
        <v>0</v>
      </c>
      <c r="O26" s="41" t="n">
        <f aca="false">WORKDAY($P$25,1+$N26,Holidays!$B$5:$B$60)</f>
        <v>46374</v>
      </c>
      <c r="P26" s="41" t="n">
        <f aca="false">IF($K26="N",WORKDAY($O26,-1,Holidays!$B$5:$B$60),IF($L26=0,$O26,WORKDAY($O26,$L26-1,Holidays!$B$5:$B$60)))</f>
        <v>46380</v>
      </c>
      <c r="Q26" s="21" t="s">
        <v>192</v>
      </c>
      <c r="R26" s="42" t="str">
        <f aca="false">IF(AND($G26="HOLD",$K26="Y"),"■ HOLD: go/no-go. ","")</f>
        <v/>
      </c>
      <c r="S26" s="43"/>
    </row>
    <row r="27" customFormat="false" ht="27.75" hidden="false" customHeight="true" outlineLevel="0" collapsed="false">
      <c r="A27" s="40" t="s">
        <v>62</v>
      </c>
      <c r="B27" s="40" t="s">
        <v>162</v>
      </c>
      <c r="C27" s="17" t="s">
        <v>211</v>
      </c>
      <c r="D27" s="40" t="s">
        <v>212</v>
      </c>
      <c r="E27" s="40" t="s">
        <v>213</v>
      </c>
      <c r="F27" s="40"/>
      <c r="G27" s="40"/>
      <c r="H27" s="21" t="n">
        <v>0</v>
      </c>
      <c r="I27" s="21" t="n">
        <v>25</v>
      </c>
      <c r="J27" s="40" t="s">
        <v>139</v>
      </c>
      <c r="K27" s="40" t="str">
        <f aca="false">IF(AND(OR($E27="Both",$E27=$C$6),OR($F27="",IFERROR(INDEX($F$5:$F$13,MATCH($F27,$E$5:$E$13,0)),"Y")="Y")),"Y","N")</f>
        <v>N</v>
      </c>
      <c r="L27" s="40" t="n">
        <f aca="false">IF($K27="N",0,IF(IF($C$6="Auction",$H27,$I27)=0,0,ROUNDUP(IF($C$6="Auction",$H27,$I27)*(1+IF($J27="Y",$C$10,0)),0)))</f>
        <v>0</v>
      </c>
      <c r="M27" s="40" t="s">
        <v>214</v>
      </c>
      <c r="N27" s="21" t="n">
        <v>0</v>
      </c>
      <c r="O27" s="41" t="n">
        <f aca="false">WORKDAY($P$24,1+$N27,Holidays!$B$5:$B$60)</f>
        <v>46370</v>
      </c>
      <c r="P27" s="41" t="n">
        <f aca="false">IF($K27="N",WORKDAY($O27,-1,Holidays!$B$5:$B$60),IF($L27=0,$O27,WORKDAY($O27,$L27-1,Holidays!$B$5:$B$60)))</f>
        <v>46367</v>
      </c>
      <c r="Q27" s="21" t="s">
        <v>192</v>
      </c>
      <c r="R27" s="42" t="str">
        <f aca="false">IF(AND($G27="HOLD",$K27="Y"),"■ HOLD: go/no-go. ","")</f>
        <v/>
      </c>
      <c r="S27" s="43" t="s">
        <v>215</v>
      </c>
    </row>
    <row r="28" customFormat="false" ht="27.75" hidden="false" customHeight="true" outlineLevel="0" collapsed="false">
      <c r="A28" s="40" t="s">
        <v>216</v>
      </c>
      <c r="B28" s="40" t="s">
        <v>162</v>
      </c>
      <c r="C28" s="17" t="s">
        <v>217</v>
      </c>
      <c r="D28" s="40" t="s">
        <v>218</v>
      </c>
      <c r="E28" s="40" t="s">
        <v>213</v>
      </c>
      <c r="F28" s="40"/>
      <c r="G28" s="40"/>
      <c r="H28" s="21" t="n">
        <v>0</v>
      </c>
      <c r="I28" s="21" t="n">
        <v>10</v>
      </c>
      <c r="J28" s="40" t="s">
        <v>139</v>
      </c>
      <c r="K28" s="40" t="str">
        <f aca="false">IF(AND(OR($E28="Both",$E28=$C$6),OR($F28="",IFERROR(INDEX($F$5:$F$13,MATCH($F28,$E$5:$E$13,0)),"Y")="Y")),"Y","N")</f>
        <v>N</v>
      </c>
      <c r="L28" s="40" t="n">
        <f aca="false">IF($K28="N",0,IF(IF($C$6="Auction",$H28,$I28)=0,0,ROUNDUP(IF($C$6="Auction",$H28,$I28)*(1+IF($J28="Y",$C$10,0)),0)))</f>
        <v>0</v>
      </c>
      <c r="M28" s="40" t="s">
        <v>205</v>
      </c>
      <c r="N28" s="21" t="n">
        <v>2</v>
      </c>
      <c r="O28" s="41" t="n">
        <f aca="false">WORKDAY($O$24,$N28,Holidays!$B$5:$B$60)</f>
        <v>46370</v>
      </c>
      <c r="P28" s="41" t="n">
        <f aca="false">IF($K28="N",WORKDAY($O28,-1,Holidays!$B$5:$B$60),IF($L28=0,$O28,WORKDAY($O28,$L28-1,Holidays!$B$5:$B$60)))</f>
        <v>46367</v>
      </c>
      <c r="Q28" s="21" t="s">
        <v>192</v>
      </c>
      <c r="R28" s="42" t="str">
        <f aca="false">IF(AND($G28="HOLD",$K28="Y"),"■ HOLD: go/no-go. ","")</f>
        <v/>
      </c>
      <c r="S28" s="43"/>
    </row>
    <row r="29" customFormat="false" ht="27.75" hidden="false" customHeight="true" outlineLevel="0" collapsed="false">
      <c r="A29" s="40" t="s">
        <v>94</v>
      </c>
      <c r="B29" s="40" t="s">
        <v>162</v>
      </c>
      <c r="C29" s="17" t="s">
        <v>219</v>
      </c>
      <c r="D29" s="40" t="s">
        <v>220</v>
      </c>
      <c r="E29" s="40" t="s">
        <v>213</v>
      </c>
      <c r="F29" s="40"/>
      <c r="G29" s="40" t="s">
        <v>221</v>
      </c>
      <c r="H29" s="21" t="n">
        <v>0</v>
      </c>
      <c r="I29" s="21" t="n">
        <v>3</v>
      </c>
      <c r="J29" s="40" t="s">
        <v>139</v>
      </c>
      <c r="K29" s="40" t="str">
        <f aca="false">IF(AND(OR($E29="Both",$E29=$C$6),OR($F29="",IFERROR(INDEX($F$5:$F$13,MATCH($F29,$E$5:$E$13,0)),"Y")="Y")),"Y","N")</f>
        <v>N</v>
      </c>
      <c r="L29" s="40" t="n">
        <f aca="false">IF($K29="N",0,IF(IF($C$6="Auction",$H29,$I29)=0,0,ROUNDUP(IF($C$6="Auction",$H29,$I29)*(1+IF($J29="Y",$C$10,0)),0)))</f>
        <v>0</v>
      </c>
      <c r="M29" s="40" t="s">
        <v>222</v>
      </c>
      <c r="N29" s="21" t="n">
        <v>0</v>
      </c>
      <c r="O29" s="41" t="n">
        <f aca="false">MAX(WORKDAY($P$27,1+$N29,Holidays!$B$5:$B$60),WORKDAY($P$28,1+$N29,Holidays!$B$5:$B$60))</f>
        <v>46370</v>
      </c>
      <c r="P29" s="41" t="n">
        <f aca="false">IF($K29="N",WORKDAY($O29,-1,Holidays!$B$5:$B$60),IF($L29=0,$O29,WORKDAY($O29,$L29-1,Holidays!$B$5:$B$60)))</f>
        <v>46367</v>
      </c>
      <c r="Q29" s="21" t="s">
        <v>192</v>
      </c>
      <c r="R29" s="42" t="str">
        <f aca="false">IF(AND($G29="HOLD",$K29="Y"),"■ HOLD: go/no-go. ","")</f>
        <v/>
      </c>
      <c r="S29" s="43" t="s">
        <v>223</v>
      </c>
    </row>
    <row r="30" customFormat="false" ht="27.75" hidden="false" customHeight="true" outlineLevel="0" collapsed="false">
      <c r="A30" s="40" t="s">
        <v>224</v>
      </c>
      <c r="B30" s="40" t="s">
        <v>162</v>
      </c>
      <c r="C30" s="17" t="s">
        <v>225</v>
      </c>
      <c r="D30" s="40" t="s">
        <v>212</v>
      </c>
      <c r="E30" s="40" t="s">
        <v>213</v>
      </c>
      <c r="F30" s="40"/>
      <c r="G30" s="40"/>
      <c r="H30" s="21" t="n">
        <v>0</v>
      </c>
      <c r="I30" s="21" t="n">
        <v>0</v>
      </c>
      <c r="J30" s="40" t="s">
        <v>139</v>
      </c>
      <c r="K30" s="40" t="str">
        <f aca="false">IF(AND(OR($E30="Both",$E30=$C$6),OR($F30="",IFERROR(INDEX($F$5:$F$13,MATCH($F30,$E$5:$E$13,0)),"Y")="Y")),"Y","N")</f>
        <v>N</v>
      </c>
      <c r="L30" s="40" t="n">
        <f aca="false">IF($K30="N",0,IF(IF($C$6="Auction",$H30,$I30)=0,0,ROUNDUP(IF($C$6="Auction",$H30,$I30)*(1+IF($J30="Y",$C$10,0)),0)))</f>
        <v>0</v>
      </c>
      <c r="M30" s="40" t="s">
        <v>226</v>
      </c>
      <c r="N30" s="21" t="n">
        <v>0</v>
      </c>
      <c r="O30" s="41" t="n">
        <f aca="false">MAX(WORKDAY($P$29,1+$N30,Holidays!$B$5:$B$60),WORKDAY($P$26,1+$N30,Holidays!$B$5:$B$60))</f>
        <v>46391</v>
      </c>
      <c r="P30" s="41" t="n">
        <f aca="false">IF($K30="N",WORKDAY($O30,-1,Holidays!$B$5:$B$60),IF($L30=0,$O30,WORKDAY($O30,$L30-1,Holidays!$B$5:$B$60)))</f>
        <v>46380</v>
      </c>
      <c r="Q30" s="21" t="s">
        <v>192</v>
      </c>
      <c r="R30" s="42" t="str">
        <f aca="false">IF(AND($G30="HOLD",$K30="Y"),"■ HOLD: go/no-go. ","")</f>
        <v/>
      </c>
      <c r="S30" s="43" t="s">
        <v>227</v>
      </c>
    </row>
    <row r="31" customFormat="false" ht="27.75" hidden="false" customHeight="true" outlineLevel="0" collapsed="false">
      <c r="A31" s="40" t="s">
        <v>228</v>
      </c>
      <c r="B31" s="40" t="s">
        <v>162</v>
      </c>
      <c r="C31" s="17" t="s">
        <v>229</v>
      </c>
      <c r="D31" s="40" t="s">
        <v>230</v>
      </c>
      <c r="E31" s="40" t="s">
        <v>191</v>
      </c>
      <c r="F31" s="40"/>
      <c r="G31" s="40"/>
      <c r="H31" s="21" t="n">
        <v>5</v>
      </c>
      <c r="I31" s="21" t="n">
        <v>5</v>
      </c>
      <c r="J31" s="40" t="s">
        <v>139</v>
      </c>
      <c r="K31" s="40" t="str">
        <f aca="false">IF(AND(OR($E31="Both",$E31=$C$6),OR($F31="",IFERROR(INDEX($F$5:$F$13,MATCH($F31,$E$5:$E$13,0)),"Y")="Y")),"Y","N")</f>
        <v>Y</v>
      </c>
      <c r="L31" s="40" t="n">
        <f aca="false">IF($K31="N",0,IF(IF($C$6="Auction",$H31,$I31)=0,0,ROUNDUP(IF($C$6="Auction",$H31,$I31)*(1+IF($J31="Y",$C$10,0)),0)))</f>
        <v>5</v>
      </c>
      <c r="M31" s="40" t="s">
        <v>231</v>
      </c>
      <c r="N31" s="21" t="n">
        <v>0</v>
      </c>
      <c r="O31" s="41" t="n">
        <f aca="false">MAX(WORKDAY($P$26,1+$N31,Holidays!$B$5:$B$60),WORKDAY($P$30,1+$N31,Holidays!$B$5:$B$60))</f>
        <v>46391</v>
      </c>
      <c r="P31" s="41" t="n">
        <f aca="false">IF($K31="N",WORKDAY($O31,-1,Holidays!$B$5:$B$60),IF($L31=0,$O31,WORKDAY($O31,$L31-1,Holidays!$B$5:$B$60)))</f>
        <v>46395</v>
      </c>
      <c r="Q31" s="21" t="s">
        <v>192</v>
      </c>
      <c r="R31" s="42" t="str">
        <f aca="false">IF(AND($G31="HOLD",$K31="Y"),"■ HOLD: go/no-go. ","")</f>
        <v/>
      </c>
      <c r="S31" s="43"/>
    </row>
    <row r="32" customFormat="false" ht="27.75" hidden="false" customHeight="true" outlineLevel="0" collapsed="false">
      <c r="A32" s="40" t="s">
        <v>232</v>
      </c>
      <c r="B32" s="40" t="s">
        <v>162</v>
      </c>
      <c r="C32" s="17" t="s">
        <v>233</v>
      </c>
      <c r="D32" s="40" t="s">
        <v>212</v>
      </c>
      <c r="E32" s="40" t="s">
        <v>191</v>
      </c>
      <c r="F32" s="40"/>
      <c r="G32" s="40"/>
      <c r="H32" s="21" t="n">
        <v>0</v>
      </c>
      <c r="I32" s="21" t="n">
        <v>0</v>
      </c>
      <c r="J32" s="40" t="s">
        <v>139</v>
      </c>
      <c r="K32" s="40" t="str">
        <f aca="false">IF(AND(OR($E32="Both",$E32=$C$6),OR($F32="",IFERROR(INDEX($F$5:$F$13,MATCH($F32,$E$5:$E$13,0)),"Y")="Y")),"Y","N")</f>
        <v>Y</v>
      </c>
      <c r="L32" s="40" t="n">
        <f aca="false">IF($K32="N",0,IF(IF($C$6="Auction",$H32,$I32)=0,0,ROUNDUP(IF($C$6="Auction",$H32,$I32)*(1+IF($J32="Y",$C$10,0)),0)))</f>
        <v>0</v>
      </c>
      <c r="M32" s="40" t="s">
        <v>234</v>
      </c>
      <c r="N32" s="21" t="n">
        <v>0</v>
      </c>
      <c r="O32" s="41" t="n">
        <f aca="false">IF($C$6="Auction",WORKDAY($O$21+$C$8-1,1,Holidays!$B$5:$B$60),MAX(WORKDAY($P$30,$C$9,Holidays!$B$5:$B$60),WORKDAY($P$31,1,Holidays!$B$5:$B$60)))</f>
        <v>46394</v>
      </c>
      <c r="P32" s="41" t="n">
        <f aca="false">IF($K32="N",WORKDAY($O32,-1,Holidays!$B$5:$B$60),IF($L32=0,$O32,WORKDAY($O32,$L32-1,Holidays!$B$5:$B$60)))</f>
        <v>46394</v>
      </c>
      <c r="Q32" s="21" t="s">
        <v>192</v>
      </c>
      <c r="R32" s="42" t="str">
        <f aca="false">IF(AND($G32="HOLD",$K32="Y"),"■ HOLD: go/no-go. ","")&amp;IF(AND($C$6="Auction",$P$31&gt;$O32),"⚠ Finance not ready by auction completion: deposit at risk. ","")</f>
        <v>⚠ Finance not ready by auction completion: deposit at risk. </v>
      </c>
      <c r="S32" s="43" t="s">
        <v>235</v>
      </c>
    </row>
    <row r="33" customFormat="false" ht="27.75" hidden="false" customHeight="true" outlineLevel="0" collapsed="false">
      <c r="A33" s="40" t="s">
        <v>70</v>
      </c>
      <c r="B33" s="40" t="s">
        <v>163</v>
      </c>
      <c r="C33" s="17" t="s">
        <v>236</v>
      </c>
      <c r="D33" s="40" t="s">
        <v>237</v>
      </c>
      <c r="E33" s="40" t="s">
        <v>191</v>
      </c>
      <c r="F33" s="40"/>
      <c r="G33" s="40"/>
      <c r="H33" s="21" t="n">
        <v>3</v>
      </c>
      <c r="I33" s="21" t="n">
        <v>3</v>
      </c>
      <c r="J33" s="40" t="s">
        <v>139</v>
      </c>
      <c r="K33" s="40" t="str">
        <f aca="false">IF(AND(OR($E33="Both",$E33=$C$6),OR($F33="",IFERROR(INDEX($F$5:$F$13,MATCH($F33,$E$5:$E$13,0)),"Y")="Y")),"Y","N")</f>
        <v>Y</v>
      </c>
      <c r="L33" s="40" t="n">
        <f aca="false">IF($K33="N",0,IF(IF($C$6="Auction",$H33,$I33)=0,0,ROUNDUP(IF($C$6="Auction",$H33,$I33)*(1+IF($J33="Y",$C$10,0)),0)))</f>
        <v>3</v>
      </c>
      <c r="M33" s="40" t="s">
        <v>238</v>
      </c>
      <c r="N33" s="21" t="n">
        <v>0</v>
      </c>
      <c r="O33" s="41" t="n">
        <f aca="false">MAX(WORKDAY($P$21,1+$N33,Holidays!$B$5:$B$60),WORKDAY($P$28,1+$N33,Holidays!$B$5:$B$60))</f>
        <v>46370</v>
      </c>
      <c r="P33" s="41" t="n">
        <f aca="false">IF($K33="N",WORKDAY($O33,-1,Holidays!$B$5:$B$60),IF($L33=0,$O33,WORKDAY($O33,$L33-1,Holidays!$B$5:$B$60)))</f>
        <v>46372</v>
      </c>
      <c r="Q33" s="21" t="s">
        <v>192</v>
      </c>
      <c r="R33" s="42" t="str">
        <f aca="false">IF(AND($G33="HOLD",$K33="Y"),"■ HOLD: go/no-go. ","")</f>
        <v/>
      </c>
      <c r="S33" s="43" t="s">
        <v>239</v>
      </c>
    </row>
    <row r="34" customFormat="false" ht="27.75" hidden="false" customHeight="true" outlineLevel="0" collapsed="false">
      <c r="A34" s="40" t="s">
        <v>240</v>
      </c>
      <c r="B34" s="40" t="s">
        <v>163</v>
      </c>
      <c r="C34" s="17" t="s">
        <v>241</v>
      </c>
      <c r="D34" s="40" t="s">
        <v>242</v>
      </c>
      <c r="E34" s="40" t="s">
        <v>191</v>
      </c>
      <c r="F34" s="40"/>
      <c r="G34" s="40"/>
      <c r="H34" s="21" t="n">
        <v>5</v>
      </c>
      <c r="I34" s="21" t="n">
        <v>5</v>
      </c>
      <c r="J34" s="40" t="s">
        <v>139</v>
      </c>
      <c r="K34" s="40" t="str">
        <f aca="false">IF(AND(OR($E34="Both",$E34=$C$6),OR($F34="",IFERROR(INDEX($F$5:$F$13,MATCH($F34,$E$5:$E$13,0)),"Y")="Y")),"Y","N")</f>
        <v>Y</v>
      </c>
      <c r="L34" s="40" t="n">
        <f aca="false">IF($K34="N",0,IF(IF($C$6="Auction",$H34,$I34)=0,0,ROUNDUP(IF($C$6="Auction",$H34,$I34)*(1+IF($J34="Y",$C$10,0)),0)))</f>
        <v>5</v>
      </c>
      <c r="M34" s="40" t="s">
        <v>243</v>
      </c>
      <c r="N34" s="21" t="n">
        <v>0</v>
      </c>
      <c r="O34" s="41" t="n">
        <f aca="false">WORKDAY($P$33,1+$N34,Holidays!$B$5:$B$60)</f>
        <v>46373</v>
      </c>
      <c r="P34" s="41" t="n">
        <f aca="false">IF($K34="N",WORKDAY($O34,-1,Holidays!$B$5:$B$60),IF($L34=0,$O34,WORKDAY($O34,$L34-1,Holidays!$B$5:$B$60)))</f>
        <v>46379</v>
      </c>
      <c r="Q34" s="21" t="s">
        <v>192</v>
      </c>
      <c r="R34" s="42" t="str">
        <f aca="false">IF(AND($G34="HOLD",$K34="Y"),"■ HOLD: go/no-go. ","")</f>
        <v/>
      </c>
      <c r="S34" s="43"/>
    </row>
    <row r="35" customFormat="false" ht="27.75" hidden="false" customHeight="true" outlineLevel="0" collapsed="false">
      <c r="A35" s="40" t="s">
        <v>97</v>
      </c>
      <c r="B35" s="40" t="s">
        <v>163</v>
      </c>
      <c r="C35" s="17" t="s">
        <v>244</v>
      </c>
      <c r="D35" s="40" t="s">
        <v>190</v>
      </c>
      <c r="E35" s="40" t="s">
        <v>191</v>
      </c>
      <c r="F35" s="40"/>
      <c r="G35" s="40" t="s">
        <v>221</v>
      </c>
      <c r="H35" s="21" t="n">
        <v>2</v>
      </c>
      <c r="I35" s="21" t="n">
        <v>2</v>
      </c>
      <c r="J35" s="40" t="s">
        <v>139</v>
      </c>
      <c r="K35" s="40" t="str">
        <f aca="false">IF(AND(OR($E35="Both",$E35=$C$6),OR($F35="",IFERROR(INDEX($F$5:$F$13,MATCH($F35,$E$5:$E$13,0)),"Y")="Y")),"Y","N")</f>
        <v>Y</v>
      </c>
      <c r="L35" s="40" t="n">
        <f aca="false">IF($K35="N",0,IF(IF($C$6="Auction",$H35,$I35)=0,0,ROUNDUP(IF($C$6="Auction",$H35,$I35)*(1+IF($J35="Y",$C$10,0)),0)))</f>
        <v>2</v>
      </c>
      <c r="M35" s="40" t="s">
        <v>245</v>
      </c>
      <c r="N35" s="21" t="n">
        <v>0</v>
      </c>
      <c r="O35" s="41" t="n">
        <f aca="false">WORKDAY($P$34,1+$N35,Holidays!$B$5:$B$60)</f>
        <v>46380</v>
      </c>
      <c r="P35" s="41" t="n">
        <f aca="false">IF($K35="N",WORKDAY($O35,-1,Holidays!$B$5:$B$60),IF($L35=0,$O35,WORKDAY($O35,$L35-1,Holidays!$B$5:$B$60)))</f>
        <v>46391</v>
      </c>
      <c r="Q35" s="21" t="s">
        <v>192</v>
      </c>
      <c r="R35" s="42" t="str">
        <f aca="false">IF(AND($G35="HOLD",$K35="Y"),"■ HOLD: go/no-go. ","")</f>
        <v>■ HOLD: go/no-go. </v>
      </c>
      <c r="S35" s="43" t="s">
        <v>246</v>
      </c>
    </row>
    <row r="36" customFormat="false" ht="27.75" hidden="false" customHeight="true" outlineLevel="0" collapsed="false">
      <c r="A36" s="40" t="s">
        <v>247</v>
      </c>
      <c r="B36" s="40" t="s">
        <v>163</v>
      </c>
      <c r="C36" s="17" t="s">
        <v>248</v>
      </c>
      <c r="D36" s="40" t="s">
        <v>249</v>
      </c>
      <c r="E36" s="40" t="s">
        <v>191</v>
      </c>
      <c r="F36" s="40"/>
      <c r="G36" s="40"/>
      <c r="H36" s="21" t="n">
        <v>1</v>
      </c>
      <c r="I36" s="21" t="n">
        <v>1</v>
      </c>
      <c r="J36" s="40" t="s">
        <v>139</v>
      </c>
      <c r="K36" s="40" t="str">
        <f aca="false">IF(AND(OR($E36="Both",$E36=$C$6),OR($F36="",IFERROR(INDEX($F$5:$F$13,MATCH($F36,$E$5:$E$13,0)),"Y")="Y")),"Y","N")</f>
        <v>Y</v>
      </c>
      <c r="L36" s="40" t="n">
        <f aca="false">IF($K36="N",0,IF(IF($C$6="Auction",$H36,$I36)=0,0,ROUNDUP(IF($C$6="Auction",$H36,$I36)*(1+IF($J36="Y",$C$10,0)),0)))</f>
        <v>1</v>
      </c>
      <c r="M36" s="40" t="s">
        <v>250</v>
      </c>
      <c r="N36" s="21" t="n">
        <v>0</v>
      </c>
      <c r="O36" s="41" t="n">
        <f aca="false">WORKDAY($P$35,1+$N36,Holidays!$B$5:$B$60)</f>
        <v>46392</v>
      </c>
      <c r="P36" s="41" t="n">
        <f aca="false">IF($K36="N",WORKDAY($O36,-1,Holidays!$B$5:$B$60),IF($L36=0,$O36,WORKDAY($O36,$L36-1,Holidays!$B$5:$B$60)))</f>
        <v>46392</v>
      </c>
      <c r="Q36" s="21" t="s">
        <v>192</v>
      </c>
      <c r="R36" s="42" t="str">
        <f aca="false">IF(AND($G36="HOLD",$K36="Y"),"■ HOLD: go/no-go. ","")</f>
        <v/>
      </c>
      <c r="S36" s="43"/>
    </row>
    <row r="37" customFormat="false" ht="27.75" hidden="false" customHeight="true" outlineLevel="0" collapsed="false">
      <c r="A37" s="40" t="s">
        <v>251</v>
      </c>
      <c r="B37" s="40" t="s">
        <v>163</v>
      </c>
      <c r="C37" s="17" t="s">
        <v>252</v>
      </c>
      <c r="D37" s="40" t="s">
        <v>253</v>
      </c>
      <c r="E37" s="40" t="s">
        <v>191</v>
      </c>
      <c r="F37" s="40"/>
      <c r="G37" s="40"/>
      <c r="H37" s="21" t="n">
        <v>15</v>
      </c>
      <c r="I37" s="21" t="n">
        <v>15</v>
      </c>
      <c r="J37" s="40" t="s">
        <v>139</v>
      </c>
      <c r="K37" s="40" t="str">
        <f aca="false">IF(AND(OR($E37="Both",$E37=$C$6),OR($F37="",IFERROR(INDEX($F$5:$F$13,MATCH($F37,$E$5:$E$13,0)),"Y")="Y")),"Y","N")</f>
        <v>Y</v>
      </c>
      <c r="L37" s="40" t="n">
        <f aca="false">IF($K37="N",0,IF(IF($C$6="Auction",$H37,$I37)=0,0,ROUNDUP(IF($C$6="Auction",$H37,$I37)*(1+IF($J37="Y",$C$10,0)),0)))</f>
        <v>15</v>
      </c>
      <c r="M37" s="40" t="s">
        <v>254</v>
      </c>
      <c r="N37" s="21" t="n">
        <v>0</v>
      </c>
      <c r="O37" s="41" t="n">
        <f aca="false">WORKDAY($P$36,1+$N37,Holidays!$B$5:$B$60)</f>
        <v>46393</v>
      </c>
      <c r="P37" s="41" t="n">
        <f aca="false">IF($K37="N",WORKDAY($O37,-1,Holidays!$B$5:$B$60),IF($L37=0,$O37,WORKDAY($O37,$L37-1,Holidays!$B$5:$B$60)))</f>
        <v>46413</v>
      </c>
      <c r="Q37" s="21" t="s">
        <v>192</v>
      </c>
      <c r="R37" s="42" t="str">
        <f aca="false">IF(AND($G37="HOLD",$K37="Y"),"■ HOLD: go/no-go. ","")</f>
        <v/>
      </c>
      <c r="S37" s="43" t="s">
        <v>255</v>
      </c>
    </row>
    <row r="38" customFormat="false" ht="27.75" hidden="false" customHeight="true" outlineLevel="0" collapsed="false">
      <c r="A38" s="40" t="s">
        <v>99</v>
      </c>
      <c r="B38" s="40" t="s">
        <v>163</v>
      </c>
      <c r="C38" s="17" t="s">
        <v>256</v>
      </c>
      <c r="D38" s="40" t="s">
        <v>257</v>
      </c>
      <c r="E38" s="40" t="s">
        <v>191</v>
      </c>
      <c r="F38" s="40" t="s">
        <v>134</v>
      </c>
      <c r="G38" s="40"/>
      <c r="H38" s="21" t="n">
        <v>5</v>
      </c>
      <c r="I38" s="21" t="n">
        <v>5</v>
      </c>
      <c r="J38" s="40" t="s">
        <v>139</v>
      </c>
      <c r="K38" s="40" t="str">
        <f aca="false">IF(AND(OR($E38="Both",$E38=$C$6),OR($F38="",IFERROR(INDEX($F$5:$F$13,MATCH($F38,$E$5:$E$13,0)),"Y")="Y")),"Y","N")</f>
        <v>Y</v>
      </c>
      <c r="L38" s="40" t="n">
        <f aca="false">IF($K38="N",0,IF(IF($C$6="Auction",$H38,$I38)=0,0,ROUNDUP(IF($C$6="Auction",$H38,$I38)*(1+IF($J38="Y",$C$10,0)),0)))</f>
        <v>5</v>
      </c>
      <c r="M38" s="40" t="s">
        <v>258</v>
      </c>
      <c r="N38" s="21" t="n">
        <v>0</v>
      </c>
      <c r="O38" s="41" t="n">
        <f aca="false">WORKDAY($P$32,1+$N38,Holidays!$B$5:$B$60)</f>
        <v>46395</v>
      </c>
      <c r="P38" s="41" t="n">
        <f aca="false">IF($K38="N",WORKDAY($O38,-1,Holidays!$B$5:$B$60),IF($L38=0,$O38,WORKDAY($O38,$L38-1,Holidays!$B$5:$B$60)))</f>
        <v>46401</v>
      </c>
      <c r="Q38" s="21" t="s">
        <v>192</v>
      </c>
      <c r="R38" s="42" t="str">
        <f aca="false">IF(AND($G38="HOLD",$K38="Y"),"■ HOLD: go/no-go. ","")</f>
        <v/>
      </c>
      <c r="S38" s="43" t="s">
        <v>259</v>
      </c>
    </row>
    <row r="39" customFormat="false" ht="27.75" hidden="false" customHeight="true" outlineLevel="0" collapsed="false">
      <c r="A39" s="40" t="s">
        <v>260</v>
      </c>
      <c r="B39" s="40" t="s">
        <v>163</v>
      </c>
      <c r="C39" s="17" t="s">
        <v>261</v>
      </c>
      <c r="D39" s="40" t="s">
        <v>190</v>
      </c>
      <c r="E39" s="40" t="s">
        <v>191</v>
      </c>
      <c r="F39" s="40"/>
      <c r="G39" s="40"/>
      <c r="H39" s="21" t="n">
        <v>1</v>
      </c>
      <c r="I39" s="21" t="n">
        <v>1</v>
      </c>
      <c r="J39" s="40" t="s">
        <v>139</v>
      </c>
      <c r="K39" s="40" t="str">
        <f aca="false">IF(AND(OR($E39="Both",$E39=$C$6),OR($F39="",IFERROR(INDEX($F$5:$F$13,MATCH($F39,$E$5:$E$13,0)),"Y")="Y")),"Y","N")</f>
        <v>Y</v>
      </c>
      <c r="L39" s="40" t="n">
        <f aca="false">IF($K39="N",0,IF(IF($C$6="Auction",$H39,$I39)=0,0,ROUNDUP(IF($C$6="Auction",$H39,$I39)*(1+IF($J39="Y",$C$10,0)),0)))</f>
        <v>1</v>
      </c>
      <c r="M39" s="40" t="s">
        <v>258</v>
      </c>
      <c r="N39" s="21" t="n">
        <v>0</v>
      </c>
      <c r="O39" s="41" t="n">
        <f aca="false">WORKDAY($P$32,1+$N39,Holidays!$B$5:$B$60)</f>
        <v>46395</v>
      </c>
      <c r="P39" s="41" t="n">
        <f aca="false">IF($K39="N",WORKDAY($O39,-1,Holidays!$B$5:$B$60),IF($L39=0,$O39,WORKDAY($O39,$L39-1,Holidays!$B$5:$B$60)))</f>
        <v>46395</v>
      </c>
      <c r="Q39" s="21" t="s">
        <v>192</v>
      </c>
      <c r="R39" s="42" t="str">
        <f aca="false">IF(AND($G39="HOLD",$K39="Y"),"■ HOLD: go/no-go. ","")</f>
        <v/>
      </c>
      <c r="S39" s="43"/>
    </row>
    <row r="40" customFormat="false" ht="27.75" hidden="false" customHeight="true" outlineLevel="0" collapsed="false">
      <c r="A40" s="40" t="s">
        <v>262</v>
      </c>
      <c r="B40" s="40" t="s">
        <v>164</v>
      </c>
      <c r="C40" s="17" t="s">
        <v>263</v>
      </c>
      <c r="D40" s="40" t="s">
        <v>237</v>
      </c>
      <c r="E40" s="40" t="s">
        <v>191</v>
      </c>
      <c r="F40" s="40"/>
      <c r="G40" s="40"/>
      <c r="H40" s="21" t="n">
        <v>4</v>
      </c>
      <c r="I40" s="21" t="n">
        <v>4</v>
      </c>
      <c r="J40" s="40" t="s">
        <v>135</v>
      </c>
      <c r="K40" s="40" t="str">
        <f aca="false">IF(AND(OR($E40="Both",$E40=$C$6),OR($F40="",IFERROR(INDEX($F$5:$F$13,MATCH($F40,$E$5:$E$13,0)),"Y")="Y")),"Y","N")</f>
        <v>Y</v>
      </c>
      <c r="L40" s="40" t="n">
        <f aca="false">IF($K40="N",0,IF(IF($C$6="Auction",$H40,$I40)=0,0,ROUNDUP(IF($C$6="Auction",$H40,$I40)*(1+IF($J40="Y",$C$10,0)),0)))</f>
        <v>5</v>
      </c>
      <c r="M40" s="40" t="s">
        <v>264</v>
      </c>
      <c r="N40" s="21" t="n">
        <v>0</v>
      </c>
      <c r="O40" s="41" t="n">
        <f aca="false">MAX(WORKDAY($P$39,1+$N40,Holidays!$B$5:$B$60),WORKDAY($P$38,1+$N40,Holidays!$B$5:$B$60),WORKDAY($P$35,1+$N40,Holidays!$B$5:$B$60))</f>
        <v>46402</v>
      </c>
      <c r="P40" s="41" t="n">
        <f aca="false">IF($K40="N",WORKDAY($O40,-1,Holidays!$B$5:$B$60),IF($L40=0,$O40,WORKDAY($O40,$L40-1,Holidays!$B$5:$B$60)))</f>
        <v>46408</v>
      </c>
      <c r="Q40" s="21" t="s">
        <v>192</v>
      </c>
      <c r="R40" s="42" t="str">
        <f aca="false">IF(AND($G40="HOLD",$K40="Y"),"■ HOLD: go/no-go. ","")</f>
        <v/>
      </c>
      <c r="S40" s="43"/>
    </row>
    <row r="41" customFormat="false" ht="27.75" hidden="false" customHeight="true" outlineLevel="0" collapsed="false">
      <c r="A41" s="40" t="s">
        <v>103</v>
      </c>
      <c r="B41" s="40" t="s">
        <v>164</v>
      </c>
      <c r="C41" s="17" t="s">
        <v>265</v>
      </c>
      <c r="D41" s="40" t="s">
        <v>266</v>
      </c>
      <c r="E41" s="40" t="s">
        <v>191</v>
      </c>
      <c r="F41" s="40"/>
      <c r="G41" s="40" t="s">
        <v>221</v>
      </c>
      <c r="H41" s="21" t="n">
        <v>1</v>
      </c>
      <c r="I41" s="21" t="n">
        <v>1</v>
      </c>
      <c r="J41" s="40" t="s">
        <v>139</v>
      </c>
      <c r="K41" s="40" t="str">
        <f aca="false">IF(AND(OR($E41="Both",$E41=$C$6),OR($F41="",IFERROR(INDEX($F$5:$F$13,MATCH($F41,$E$5:$E$13,0)),"Y")="Y")),"Y","N")</f>
        <v>Y</v>
      </c>
      <c r="L41" s="40" t="n">
        <f aca="false">IF($K41="N",0,IF(IF($C$6="Auction",$H41,$I41)=0,0,ROUNDUP(IF($C$6="Auction",$H41,$I41)*(1+IF($J41="Y",$C$10,0)),0)))</f>
        <v>1</v>
      </c>
      <c r="M41" s="40" t="s">
        <v>267</v>
      </c>
      <c r="N41" s="21" t="n">
        <v>0</v>
      </c>
      <c r="O41" s="41" t="n">
        <f aca="false">WORKDAY($P$40,1+$N41,Holidays!$B$5:$B$60)</f>
        <v>46409</v>
      </c>
      <c r="P41" s="41" t="n">
        <f aca="false">IF($K41="N",WORKDAY($O41,-1,Holidays!$B$5:$B$60),IF($L41=0,$O41,WORKDAY($O41,$L41-1,Holidays!$B$5:$B$60)))</f>
        <v>46409</v>
      </c>
      <c r="Q41" s="21" t="s">
        <v>192</v>
      </c>
      <c r="R41" s="42" t="str">
        <f aca="false">IF(AND($G41="HOLD",$K41="Y"),"■ HOLD: go/no-go. ","")</f>
        <v>■ HOLD: go/no-go. </v>
      </c>
      <c r="S41" s="43" t="s">
        <v>268</v>
      </c>
    </row>
    <row r="42" customFormat="false" ht="27.75" hidden="false" customHeight="true" outlineLevel="0" collapsed="false">
      <c r="A42" s="40" t="s">
        <v>269</v>
      </c>
      <c r="B42" s="40" t="s">
        <v>164</v>
      </c>
      <c r="C42" s="17" t="s">
        <v>270</v>
      </c>
      <c r="D42" s="40" t="s">
        <v>271</v>
      </c>
      <c r="E42" s="40" t="s">
        <v>191</v>
      </c>
      <c r="F42" s="40" t="s">
        <v>138</v>
      </c>
      <c r="G42" s="40"/>
      <c r="H42" s="21" t="n">
        <v>5</v>
      </c>
      <c r="I42" s="21" t="n">
        <v>5</v>
      </c>
      <c r="J42" s="40" t="s">
        <v>135</v>
      </c>
      <c r="K42" s="40" t="str">
        <f aca="false">IF(AND(OR($E42="Both",$E42=$C$6),OR($F42="",IFERROR(INDEX($F$5:$F$13,MATCH($F42,$E$5:$E$13,0)),"Y")="Y")),"Y","N")</f>
        <v>N</v>
      </c>
      <c r="L42" s="40" t="n">
        <f aca="false">IF($K42="N",0,IF(IF($C$6="Auction",$H42,$I42)=0,0,ROUNDUP(IF($C$6="Auction",$H42,$I42)*(1+IF($J42="Y",$C$10,0)),0)))</f>
        <v>0</v>
      </c>
      <c r="M42" s="40" t="s">
        <v>272</v>
      </c>
      <c r="N42" s="21" t="n">
        <v>0</v>
      </c>
      <c r="O42" s="41" t="n">
        <f aca="false">WORKDAY($P$41,1+$N42,Holidays!$B$5:$B$60)</f>
        <v>46412</v>
      </c>
      <c r="P42" s="41" t="n">
        <f aca="false">IF($K42="N",WORKDAY($O42,-1,Holidays!$B$5:$B$60),IF($L42=0,$O42,WORKDAY($O42,$L42-1,Holidays!$B$5:$B$60)))</f>
        <v>46409</v>
      </c>
      <c r="Q42" s="21" t="s">
        <v>192</v>
      </c>
      <c r="R42" s="42" t="str">
        <f aca="false">IF(AND($G42="HOLD",$K42="Y"),"■ HOLD: go/no-go. ","")</f>
        <v/>
      </c>
      <c r="S42" s="43"/>
    </row>
    <row r="43" customFormat="false" ht="27.75" hidden="false" customHeight="true" outlineLevel="0" collapsed="false">
      <c r="A43" s="40" t="s">
        <v>273</v>
      </c>
      <c r="B43" s="40" t="s">
        <v>164</v>
      </c>
      <c r="C43" s="17" t="s">
        <v>274</v>
      </c>
      <c r="D43" s="40" t="s">
        <v>275</v>
      </c>
      <c r="E43" s="40" t="s">
        <v>191</v>
      </c>
      <c r="F43" s="40" t="s">
        <v>142</v>
      </c>
      <c r="G43" s="40"/>
      <c r="H43" s="21" t="n">
        <v>3</v>
      </c>
      <c r="I43" s="21" t="n">
        <v>3</v>
      </c>
      <c r="J43" s="40" t="s">
        <v>135</v>
      </c>
      <c r="K43" s="40" t="str">
        <f aca="false">IF(AND(OR($E43="Both",$E43=$C$6),OR($F43="",IFERROR(INDEX($F$5:$F$13,MATCH($F43,$E$5:$E$13,0)),"Y")="Y")),"Y","N")</f>
        <v>Y</v>
      </c>
      <c r="L43" s="40" t="n">
        <f aca="false">IF($K43="N",0,IF(IF($C$6="Auction",$H43,$I43)=0,0,ROUNDUP(IF($C$6="Auction",$H43,$I43)*(1+IF($J43="Y",$C$10,0)),0)))</f>
        <v>4</v>
      </c>
      <c r="M43" s="40" t="s">
        <v>272</v>
      </c>
      <c r="N43" s="21" t="n">
        <v>0</v>
      </c>
      <c r="O43" s="41" t="n">
        <f aca="false">WORKDAY($P$41,1+$N43,Holidays!$B$5:$B$60)</f>
        <v>46412</v>
      </c>
      <c r="P43" s="41" t="n">
        <f aca="false">IF($K43="N",WORKDAY($O43,-1,Holidays!$B$5:$B$60),IF($L43=0,$O43,WORKDAY($O43,$L43-1,Holidays!$B$5:$B$60)))</f>
        <v>46415</v>
      </c>
      <c r="Q43" s="21" t="s">
        <v>192</v>
      </c>
      <c r="R43" s="42" t="str">
        <f aca="false">IF(AND($G43="HOLD",$K43="Y"),"■ HOLD: go/no-go. ","")</f>
        <v/>
      </c>
      <c r="S43" s="43" t="s">
        <v>276</v>
      </c>
    </row>
    <row r="44" customFormat="false" ht="27.75" hidden="false" customHeight="true" outlineLevel="0" collapsed="false">
      <c r="A44" s="40" t="s">
        <v>277</v>
      </c>
      <c r="B44" s="40" t="s">
        <v>164</v>
      </c>
      <c r="C44" s="17" t="s">
        <v>278</v>
      </c>
      <c r="D44" s="40" t="s">
        <v>279</v>
      </c>
      <c r="E44" s="40" t="s">
        <v>191</v>
      </c>
      <c r="F44" s="40" t="s">
        <v>144</v>
      </c>
      <c r="G44" s="40"/>
      <c r="H44" s="21" t="n">
        <v>8</v>
      </c>
      <c r="I44" s="21" t="n">
        <v>8</v>
      </c>
      <c r="J44" s="40" t="s">
        <v>135</v>
      </c>
      <c r="K44" s="40" t="str">
        <f aca="false">IF(AND(OR($E44="Both",$E44=$C$6),OR($F44="",IFERROR(INDEX($F$5:$F$13,MATCH($F44,$E$5:$E$13,0)),"Y")="Y")),"Y","N")</f>
        <v>N</v>
      </c>
      <c r="L44" s="40" t="n">
        <f aca="false">IF($K44="N",0,IF(IF($C$6="Auction",$H44,$I44)=0,0,ROUNDUP(IF($C$6="Auction",$H44,$I44)*(1+IF($J44="Y",$C$10,0)),0)))</f>
        <v>0</v>
      </c>
      <c r="M44" s="40" t="s">
        <v>272</v>
      </c>
      <c r="N44" s="21" t="n">
        <v>0</v>
      </c>
      <c r="O44" s="41" t="n">
        <f aca="false">WORKDAY($P$41,1+$N44,Holidays!$B$5:$B$60)</f>
        <v>46412</v>
      </c>
      <c r="P44" s="41" t="n">
        <f aca="false">IF($K44="N",WORKDAY($O44,-1,Holidays!$B$5:$B$60),IF($L44=0,$O44,WORKDAY($O44,$L44-1,Holidays!$B$5:$B$60)))</f>
        <v>46409</v>
      </c>
      <c r="Q44" s="21" t="s">
        <v>192</v>
      </c>
      <c r="R44" s="42" t="str">
        <f aca="false">IF(AND($G44="HOLD",$K44="Y"),"■ HOLD: go/no-go. ","")&amp;IF(AND($K44="Y",OR(MONTH($O44)&gt;=11,MONTH($O44)&lt;=2)),"⚠ External work in Nov–Feb: weather risk. ","")</f>
        <v/>
      </c>
      <c r="S44" s="43"/>
    </row>
    <row r="45" customFormat="false" ht="27.75" hidden="false" customHeight="true" outlineLevel="0" collapsed="false">
      <c r="A45" s="40" t="s">
        <v>280</v>
      </c>
      <c r="B45" s="40" t="s">
        <v>164</v>
      </c>
      <c r="C45" s="17" t="s">
        <v>281</v>
      </c>
      <c r="D45" s="40" t="s">
        <v>282</v>
      </c>
      <c r="E45" s="40" t="s">
        <v>191</v>
      </c>
      <c r="F45" s="40" t="s">
        <v>146</v>
      </c>
      <c r="G45" s="40"/>
      <c r="H45" s="21" t="n">
        <v>3</v>
      </c>
      <c r="I45" s="21" t="n">
        <v>3</v>
      </c>
      <c r="J45" s="40" t="s">
        <v>135</v>
      </c>
      <c r="K45" s="40" t="str">
        <f aca="false">IF(AND(OR($E45="Both",$E45=$C$6),OR($F45="",IFERROR(INDEX($F$5:$F$13,MATCH($F45,$E$5:$E$13,0)),"Y")="Y")),"Y","N")</f>
        <v>N</v>
      </c>
      <c r="L45" s="40" t="n">
        <f aca="false">IF($K45="N",0,IF(IF($C$6="Auction",$H45,$I45)=0,0,ROUNDUP(IF($C$6="Auction",$H45,$I45)*(1+IF($J45="Y",$C$10,0)),0)))</f>
        <v>0</v>
      </c>
      <c r="M45" s="40" t="s">
        <v>283</v>
      </c>
      <c r="N45" s="21" t="n">
        <v>0</v>
      </c>
      <c r="O45" s="41" t="n">
        <f aca="false">MAX(WORKDAY($P$41,1+$N45,Holidays!$B$5:$B$60),WORKDAY($P$37,1+$N45,Holidays!$B$5:$B$60))</f>
        <v>46414</v>
      </c>
      <c r="P45" s="41" t="n">
        <f aca="false">IF($K45="N",WORKDAY($O45,-1,Holidays!$B$5:$B$60),IF($L45=0,$O45,WORKDAY($O45,$L45-1,Holidays!$B$5:$B$60)))</f>
        <v>46413</v>
      </c>
      <c r="Q45" s="21" t="s">
        <v>192</v>
      </c>
      <c r="R45" s="42" t="str">
        <f aca="false">IF(AND($G45="HOLD",$K45="Y"),"■ HOLD: go/no-go. ","")&amp;IF(AND($K45="Y",OR(MONTH($O45)&gt;=11,MONTH($O45)&lt;=2)),"⚠ External work in Nov–Feb: weather risk. ","")</f>
        <v/>
      </c>
      <c r="S45" s="43" t="s">
        <v>284</v>
      </c>
    </row>
    <row r="46" customFormat="false" ht="27.75" hidden="false" customHeight="true" outlineLevel="0" collapsed="false">
      <c r="A46" s="40" t="s">
        <v>285</v>
      </c>
      <c r="B46" s="40" t="s">
        <v>165</v>
      </c>
      <c r="C46" s="17" t="s">
        <v>286</v>
      </c>
      <c r="D46" s="40" t="s">
        <v>287</v>
      </c>
      <c r="E46" s="40" t="s">
        <v>191</v>
      </c>
      <c r="F46" s="40" t="s">
        <v>149</v>
      </c>
      <c r="G46" s="40"/>
      <c r="H46" s="21" t="n">
        <v>4</v>
      </c>
      <c r="I46" s="21" t="n">
        <v>4</v>
      </c>
      <c r="J46" s="40" t="s">
        <v>135</v>
      </c>
      <c r="K46" s="40" t="str">
        <f aca="false">IF(AND(OR($E46="Both",$E46=$C$6),OR($F46="",IFERROR(INDEX($F$5:$F$13,MATCH($F46,$E$5:$E$13,0)),"Y")="Y")),"Y","N")</f>
        <v>Y</v>
      </c>
      <c r="L46" s="40" t="n">
        <f aca="false">IF($K46="N",0,IF(IF($C$6="Auction",$H46,$I46)=0,0,ROUNDUP(IF($C$6="Auction",$H46,$I46)*(1+IF($J46="Y",$C$10,0)),0)))</f>
        <v>5</v>
      </c>
      <c r="M46" s="40" t="s">
        <v>288</v>
      </c>
      <c r="N46" s="21" t="n">
        <v>0</v>
      </c>
      <c r="O46" s="41" t="n">
        <f aca="false">MAX(WORKDAY($P$42,1+$N46,Holidays!$B$5:$B$60),WORKDAY($P$43,1+$N46,Holidays!$B$5:$B$60))</f>
        <v>46416</v>
      </c>
      <c r="P46" s="41" t="n">
        <f aca="false">IF($K46="N",WORKDAY($O46,-1,Holidays!$B$5:$B$60),IF($L46=0,$O46,WORKDAY($O46,$L46-1,Holidays!$B$5:$B$60)))</f>
        <v>46422</v>
      </c>
      <c r="Q46" s="21" t="s">
        <v>192</v>
      </c>
      <c r="R46" s="42" t="str">
        <f aca="false">IF(AND($G46="HOLD",$K46="Y"),"■ HOLD: go/no-go. ","")</f>
        <v/>
      </c>
      <c r="S46" s="43"/>
    </row>
    <row r="47" customFormat="false" ht="27.75" hidden="false" customHeight="true" outlineLevel="0" collapsed="false">
      <c r="A47" s="40" t="s">
        <v>289</v>
      </c>
      <c r="B47" s="40" t="s">
        <v>165</v>
      </c>
      <c r="C47" s="17" t="s">
        <v>290</v>
      </c>
      <c r="D47" s="40" t="s">
        <v>291</v>
      </c>
      <c r="E47" s="40" t="s">
        <v>191</v>
      </c>
      <c r="F47" s="40" t="s">
        <v>151</v>
      </c>
      <c r="G47" s="40"/>
      <c r="H47" s="21" t="n">
        <v>4</v>
      </c>
      <c r="I47" s="21" t="n">
        <v>4</v>
      </c>
      <c r="J47" s="40" t="s">
        <v>135</v>
      </c>
      <c r="K47" s="40" t="str">
        <f aca="false">IF(AND(OR($E47="Both",$E47=$C$6),OR($F47="",IFERROR(INDEX($F$5:$F$13,MATCH($F47,$E$5:$E$13,0)),"Y")="Y")),"Y","N")</f>
        <v>Y</v>
      </c>
      <c r="L47" s="40" t="n">
        <f aca="false">IF($K47="N",0,IF(IF($C$6="Auction",$H47,$I47)=0,0,ROUNDUP(IF($C$6="Auction",$H47,$I47)*(1+IF($J47="Y",$C$10,0)),0)))</f>
        <v>5</v>
      </c>
      <c r="M47" s="40" t="s">
        <v>288</v>
      </c>
      <c r="N47" s="21" t="n">
        <v>1</v>
      </c>
      <c r="O47" s="41" t="n">
        <f aca="false">MAX(WORKDAY($P$42,1+$N47,Holidays!$B$5:$B$60),WORKDAY($P$43,1+$N47,Holidays!$B$5:$B$60))</f>
        <v>46419</v>
      </c>
      <c r="P47" s="41" t="n">
        <f aca="false">IF($K47="N",WORKDAY($O47,-1,Holidays!$B$5:$B$60),IF($L47=0,$O47,WORKDAY($O47,$L47-1,Holidays!$B$5:$B$60)))</f>
        <v>46423</v>
      </c>
      <c r="Q47" s="21" t="s">
        <v>192</v>
      </c>
      <c r="R47" s="42" t="str">
        <f aca="false">IF(AND($G47="HOLD",$K47="Y"),"■ HOLD: go/no-go. ","")</f>
        <v/>
      </c>
      <c r="S47" s="43" t="s">
        <v>292</v>
      </c>
    </row>
    <row r="48" customFormat="false" ht="27.75" hidden="false" customHeight="true" outlineLevel="0" collapsed="false">
      <c r="A48" s="40" t="s">
        <v>293</v>
      </c>
      <c r="B48" s="40" t="s">
        <v>165</v>
      </c>
      <c r="C48" s="17" t="s">
        <v>294</v>
      </c>
      <c r="D48" s="40" t="s">
        <v>295</v>
      </c>
      <c r="E48" s="40" t="s">
        <v>191</v>
      </c>
      <c r="F48" s="40"/>
      <c r="G48" s="40"/>
      <c r="H48" s="21" t="n">
        <v>3</v>
      </c>
      <c r="I48" s="21" t="n">
        <v>3</v>
      </c>
      <c r="J48" s="40" t="s">
        <v>135</v>
      </c>
      <c r="K48" s="40" t="str">
        <f aca="false">IF(AND(OR($E48="Both",$E48=$C$6),OR($F48="",IFERROR(INDEX($F$5:$F$13,MATCH($F48,$E$5:$E$13,0)),"Y")="Y")),"Y","N")</f>
        <v>Y</v>
      </c>
      <c r="L48" s="40" t="n">
        <f aca="false">IF($K48="N",0,IF(IF($C$6="Auction",$H48,$I48)=0,0,ROUNDUP(IF($C$6="Auction",$H48,$I48)*(1+IF($J48="Y",$C$10,0)),0)))</f>
        <v>4</v>
      </c>
      <c r="M48" s="40" t="s">
        <v>288</v>
      </c>
      <c r="N48" s="21" t="n">
        <v>0</v>
      </c>
      <c r="O48" s="41" t="n">
        <f aca="false">MAX(WORKDAY($P$42,1+$N48,Holidays!$B$5:$B$60),WORKDAY($P$43,1+$N48,Holidays!$B$5:$B$60))</f>
        <v>46416</v>
      </c>
      <c r="P48" s="41" t="n">
        <f aca="false">IF($K48="N",WORKDAY($O48,-1,Holidays!$B$5:$B$60),IF($L48=0,$O48,WORKDAY($O48,$L48-1,Holidays!$B$5:$B$60)))</f>
        <v>46421</v>
      </c>
      <c r="Q48" s="21" t="s">
        <v>192</v>
      </c>
      <c r="R48" s="42" t="str">
        <f aca="false">IF(AND($G48="HOLD",$K48="Y"),"■ HOLD: go/no-go. ","")</f>
        <v/>
      </c>
      <c r="S48" s="43"/>
    </row>
    <row r="49" customFormat="false" ht="27.75" hidden="false" customHeight="true" outlineLevel="0" collapsed="false">
      <c r="A49" s="40" t="s">
        <v>106</v>
      </c>
      <c r="B49" s="40" t="s">
        <v>165</v>
      </c>
      <c r="C49" s="17" t="s">
        <v>296</v>
      </c>
      <c r="D49" s="40" t="s">
        <v>237</v>
      </c>
      <c r="E49" s="40" t="s">
        <v>191</v>
      </c>
      <c r="F49" s="40"/>
      <c r="G49" s="40" t="s">
        <v>221</v>
      </c>
      <c r="H49" s="21" t="n">
        <v>1</v>
      </c>
      <c r="I49" s="21" t="n">
        <v>1</v>
      </c>
      <c r="J49" s="40" t="s">
        <v>139</v>
      </c>
      <c r="K49" s="40" t="str">
        <f aca="false">IF(AND(OR($E49="Both",$E49=$C$6),OR($F49="",IFERROR(INDEX($F$5:$F$13,MATCH($F49,$E$5:$E$13,0)),"Y")="Y")),"Y","N")</f>
        <v>Y</v>
      </c>
      <c r="L49" s="40" t="n">
        <f aca="false">IF($K49="N",0,IF(IF($C$6="Auction",$H49,$I49)=0,0,ROUNDUP(IF($C$6="Auction",$H49,$I49)*(1+IF($J49="Y",$C$10,0)),0)))</f>
        <v>1</v>
      </c>
      <c r="M49" s="40" t="s">
        <v>297</v>
      </c>
      <c r="N49" s="21" t="n">
        <v>0</v>
      </c>
      <c r="O49" s="41" t="n">
        <f aca="false">MAX(WORKDAY($P$46,1+$N49,Holidays!$B$5:$B$60),WORKDAY($P$47,1+$N49,Holidays!$B$5:$B$60),WORKDAY($P$48,1+$N49,Holidays!$B$5:$B$60))</f>
        <v>46426</v>
      </c>
      <c r="P49" s="41" t="n">
        <f aca="false">IF($K49="N",WORKDAY($O49,-1,Holidays!$B$5:$B$60),IF($L49=0,$O49,WORKDAY($O49,$L49-1,Holidays!$B$5:$B$60)))</f>
        <v>46426</v>
      </c>
      <c r="Q49" s="21" t="s">
        <v>192</v>
      </c>
      <c r="R49" s="42" t="str">
        <f aca="false">IF(AND($G49="HOLD",$K49="Y"),"■ HOLD: go/no-go. ","")</f>
        <v>■ HOLD: go/no-go. </v>
      </c>
      <c r="S49" s="43" t="s">
        <v>298</v>
      </c>
    </row>
    <row r="50" customFormat="false" ht="27.75" hidden="false" customHeight="true" outlineLevel="0" collapsed="false">
      <c r="A50" s="40" t="s">
        <v>299</v>
      </c>
      <c r="B50" s="40" t="s">
        <v>166</v>
      </c>
      <c r="C50" s="17" t="s">
        <v>300</v>
      </c>
      <c r="D50" s="40" t="s">
        <v>301</v>
      </c>
      <c r="E50" s="40" t="s">
        <v>191</v>
      </c>
      <c r="F50" s="40"/>
      <c r="G50" s="40"/>
      <c r="H50" s="21" t="n">
        <v>6</v>
      </c>
      <c r="I50" s="21" t="n">
        <v>6</v>
      </c>
      <c r="J50" s="40" t="s">
        <v>135</v>
      </c>
      <c r="K50" s="40" t="str">
        <f aca="false">IF(AND(OR($E50="Both",$E50=$C$6),OR($F50="",IFERROR(INDEX($F$5:$F$13,MATCH($F50,$E$5:$E$13,0)),"Y")="Y")),"Y","N")</f>
        <v>Y</v>
      </c>
      <c r="L50" s="40" t="n">
        <f aca="false">IF($K50="N",0,IF(IF($C$6="Auction",$H50,$I50)=0,0,ROUNDUP(IF($C$6="Auction",$H50,$I50)*(1+IF($J50="Y",$C$10,0)),0)))</f>
        <v>7</v>
      </c>
      <c r="M50" s="40" t="s">
        <v>302</v>
      </c>
      <c r="N50" s="21" t="n">
        <v>0</v>
      </c>
      <c r="O50" s="41" t="n">
        <f aca="false">MAX(WORKDAY($P$49,1+$N50,Holidays!$B$5:$B$60),WORKDAY($P$44,1+$N50,Holidays!$B$5:$B$60),WORKDAY($P$45,1+$N50,Holidays!$B$5:$B$60))</f>
        <v>46427</v>
      </c>
      <c r="P50" s="41" t="n">
        <f aca="false">IF($K50="N",WORKDAY($O50,-1,Holidays!$B$5:$B$60),IF($L50=0,$O50,WORKDAY($O50,$L50-1,Holidays!$B$5:$B$60)))</f>
        <v>46435</v>
      </c>
      <c r="Q50" s="21" t="s">
        <v>192</v>
      </c>
      <c r="R50" s="42" t="str">
        <f aca="false">IF(AND($G50="HOLD",$K50="Y"),"■ HOLD: go/no-go. ","")</f>
        <v/>
      </c>
      <c r="S50" s="43" t="s">
        <v>303</v>
      </c>
    </row>
    <row r="51" customFormat="false" ht="27.75" hidden="false" customHeight="true" outlineLevel="0" collapsed="false">
      <c r="A51" s="40" t="s">
        <v>304</v>
      </c>
      <c r="B51" s="40" t="s">
        <v>166</v>
      </c>
      <c r="C51" s="17" t="s">
        <v>305</v>
      </c>
      <c r="D51" s="40" t="s">
        <v>65</v>
      </c>
      <c r="E51" s="40" t="s">
        <v>191</v>
      </c>
      <c r="F51" s="40"/>
      <c r="G51" s="40"/>
      <c r="H51" s="21" t="n">
        <v>5</v>
      </c>
      <c r="I51" s="21" t="n">
        <v>5</v>
      </c>
      <c r="J51" s="40" t="s">
        <v>139</v>
      </c>
      <c r="K51" s="40" t="str">
        <f aca="false">IF(AND(OR($E51="Both",$E51=$C$6),OR($F51="",IFERROR(INDEX($F$5:$F$13,MATCH($F51,$E$5:$E$13,0)),"Y")="Y")),"Y","N")</f>
        <v>Y</v>
      </c>
      <c r="L51" s="40" t="n">
        <f aca="false">IF($K51="N",0,IF(IF($C$6="Auction",$H51,$I51)=0,0,ROUNDUP(IF($C$6="Auction",$H51,$I51)*(1+IF($J51="Y",$C$10,0)),0)+IF(OR(MONTH($O51)&gt;=11,MONTH($O51)&lt;=2),$C$11,0)))</f>
        <v>8</v>
      </c>
      <c r="M51" s="40" t="s">
        <v>306</v>
      </c>
      <c r="N51" s="21" t="n">
        <v>0</v>
      </c>
      <c r="O51" s="41" t="n">
        <f aca="false">WORKDAY($P$50,1+$N51,Holidays!$B$5:$B$60)</f>
        <v>46436</v>
      </c>
      <c r="P51" s="41" t="n">
        <f aca="false">IF($K51="N",WORKDAY($O51,-1,Holidays!$B$5:$B$60),IF($L51=0,$O51,WORKDAY($O51,$L51-1,Holidays!$B$5:$B$60)))</f>
        <v>46447</v>
      </c>
      <c r="Q51" s="21" t="s">
        <v>192</v>
      </c>
      <c r="R51" s="42" t="str">
        <f aca="false">IF(AND($G51="HOLD",$K51="Y"),"■ HOLD: go/no-go. ","")&amp;IF(OR(MONTH($O51)&gt;=11,MONTH($O51)&lt;=2),"Winter drying allowance added. ","")</f>
        <v>Winter drying allowance added. </v>
      </c>
      <c r="S51" s="43" t="s">
        <v>307</v>
      </c>
    </row>
    <row r="52" customFormat="false" ht="27.75" hidden="false" customHeight="true" outlineLevel="0" collapsed="false">
      <c r="A52" s="40" t="s">
        <v>308</v>
      </c>
      <c r="B52" s="40" t="s">
        <v>166</v>
      </c>
      <c r="C52" s="17" t="s">
        <v>309</v>
      </c>
      <c r="D52" s="40" t="s">
        <v>310</v>
      </c>
      <c r="E52" s="40" t="s">
        <v>191</v>
      </c>
      <c r="F52" s="40"/>
      <c r="G52" s="40"/>
      <c r="H52" s="21" t="n">
        <v>2</v>
      </c>
      <c r="I52" s="21" t="n">
        <v>2</v>
      </c>
      <c r="J52" s="40" t="s">
        <v>135</v>
      </c>
      <c r="K52" s="40" t="str">
        <f aca="false">IF(AND(OR($E52="Both",$E52=$C$6),OR($F52="",IFERROR(INDEX($F$5:$F$13,MATCH($F52,$E$5:$E$13,0)),"Y")="Y")),"Y","N")</f>
        <v>Y</v>
      </c>
      <c r="L52" s="40" t="n">
        <f aca="false">IF($K52="N",0,IF(IF($C$6="Auction",$H52,$I52)=0,0,ROUNDUP(IF($C$6="Auction",$H52,$I52)*(1+IF($J52="Y",$C$10,0)),0)))</f>
        <v>3</v>
      </c>
      <c r="M52" s="40" t="s">
        <v>311</v>
      </c>
      <c r="N52" s="21" t="n">
        <v>0</v>
      </c>
      <c r="O52" s="41" t="n">
        <f aca="false">WORKDAY($P$51,1+$N52,Holidays!$B$5:$B$60)</f>
        <v>46448</v>
      </c>
      <c r="P52" s="41" t="n">
        <f aca="false">IF($K52="N",WORKDAY($O52,-1,Holidays!$B$5:$B$60),IF($L52=0,$O52,WORKDAY($O52,$L52-1,Holidays!$B$5:$B$60)))</f>
        <v>46450</v>
      </c>
      <c r="Q52" s="21" t="s">
        <v>192</v>
      </c>
      <c r="R52" s="42" t="str">
        <f aca="false">IF(AND($G52="HOLD",$K52="Y"),"■ HOLD: go/no-go. ","")</f>
        <v/>
      </c>
      <c r="S52" s="43"/>
    </row>
    <row r="53" customFormat="false" ht="27.75" hidden="false" customHeight="true" outlineLevel="0" collapsed="false">
      <c r="A53" s="40" t="s">
        <v>312</v>
      </c>
      <c r="B53" s="40" t="s">
        <v>167</v>
      </c>
      <c r="C53" s="17" t="s">
        <v>313</v>
      </c>
      <c r="D53" s="40" t="s">
        <v>314</v>
      </c>
      <c r="E53" s="40" t="s">
        <v>191</v>
      </c>
      <c r="F53" s="40" t="s">
        <v>154</v>
      </c>
      <c r="G53" s="40"/>
      <c r="H53" s="21" t="n">
        <v>4</v>
      </c>
      <c r="I53" s="21" t="n">
        <v>4</v>
      </c>
      <c r="J53" s="40" t="s">
        <v>135</v>
      </c>
      <c r="K53" s="40" t="str">
        <f aca="false">IF(AND(OR($E53="Both",$E53=$C$6),OR($F53="",IFERROR(INDEX($F$5:$F$13,MATCH($F53,$E$5:$E$13,0)),"Y")="Y")),"Y","N")</f>
        <v>Y</v>
      </c>
      <c r="L53" s="40" t="n">
        <f aca="false">IF($K53="N",0,IF(IF($C$6="Auction",$H53,$I53)=0,0,ROUNDUP(IF($C$6="Auction",$H53,$I53)*(1+IF($J53="Y",$C$10,0)),0)))</f>
        <v>5</v>
      </c>
      <c r="M53" s="40" t="s">
        <v>315</v>
      </c>
      <c r="N53" s="21" t="n">
        <v>0</v>
      </c>
      <c r="O53" s="41" t="n">
        <f aca="false">MAX(WORKDAY($P$52,1+$N53,Holidays!$B$5:$B$60),WORKDAY($P$37,1+$N53,Holidays!$B$5:$B$60))</f>
        <v>46451</v>
      </c>
      <c r="P53" s="41" t="n">
        <f aca="false">IF($K53="N",WORKDAY($O53,-1,Holidays!$B$5:$B$60),IF($L53=0,$O53,WORKDAY($O53,$L53-1,Holidays!$B$5:$B$60)))</f>
        <v>46457</v>
      </c>
      <c r="Q53" s="21" t="s">
        <v>192</v>
      </c>
      <c r="R53" s="42" t="str">
        <f aca="false">IF(AND($G53="HOLD",$K53="Y"),"■ HOLD: go/no-go. ","")</f>
        <v/>
      </c>
      <c r="S53" s="43"/>
    </row>
    <row r="54" customFormat="false" ht="27.75" hidden="false" customHeight="true" outlineLevel="0" collapsed="false">
      <c r="A54" s="40" t="s">
        <v>316</v>
      </c>
      <c r="B54" s="40" t="s">
        <v>167</v>
      </c>
      <c r="C54" s="17" t="s">
        <v>317</v>
      </c>
      <c r="D54" s="40" t="s">
        <v>318</v>
      </c>
      <c r="E54" s="40" t="s">
        <v>191</v>
      </c>
      <c r="F54" s="40" t="s">
        <v>157</v>
      </c>
      <c r="G54" s="40"/>
      <c r="H54" s="21" t="n">
        <v>5</v>
      </c>
      <c r="I54" s="21" t="n">
        <v>5</v>
      </c>
      <c r="J54" s="40" t="s">
        <v>135</v>
      </c>
      <c r="K54" s="40" t="str">
        <f aca="false">IF(AND(OR($E54="Both",$E54=$C$6),OR($F54="",IFERROR(INDEX($F$5:$F$13,MATCH($F54,$E$5:$E$13,0)),"Y")="Y")),"Y","N")</f>
        <v>Y</v>
      </c>
      <c r="L54" s="40" t="n">
        <f aca="false">IF($K54="N",0,IF(IF($C$6="Auction",$H54,$I54)=0,0,ROUNDUP(IF($C$6="Auction",$H54,$I54)*(1+IF($J54="Y",$C$10,0)),0)))</f>
        <v>6</v>
      </c>
      <c r="M54" s="40" t="s">
        <v>319</v>
      </c>
      <c r="N54" s="21" t="n">
        <v>0</v>
      </c>
      <c r="O54" s="41" t="n">
        <f aca="false">WORKDAY($P$52,1+$N54,Holidays!$B$5:$B$60)</f>
        <v>46451</v>
      </c>
      <c r="P54" s="41" t="n">
        <f aca="false">IF($K54="N",WORKDAY($O54,-1,Holidays!$B$5:$B$60),IF($L54=0,$O54,WORKDAY($O54,$L54-1,Holidays!$B$5:$B$60)))</f>
        <v>46458</v>
      </c>
      <c r="Q54" s="21" t="s">
        <v>192</v>
      </c>
      <c r="R54" s="42" t="str">
        <f aca="false">IF(AND($G54="HOLD",$K54="Y"),"■ HOLD: go/no-go. ","")</f>
        <v/>
      </c>
      <c r="S54" s="43"/>
    </row>
    <row r="55" customFormat="false" ht="27.75" hidden="false" customHeight="true" outlineLevel="0" collapsed="false">
      <c r="A55" s="40" t="s">
        <v>320</v>
      </c>
      <c r="B55" s="40" t="s">
        <v>167</v>
      </c>
      <c r="C55" s="17" t="s">
        <v>321</v>
      </c>
      <c r="D55" s="40" t="s">
        <v>287</v>
      </c>
      <c r="E55" s="40" t="s">
        <v>191</v>
      </c>
      <c r="F55" s="40"/>
      <c r="G55" s="40"/>
      <c r="H55" s="21" t="n">
        <v>2</v>
      </c>
      <c r="I55" s="21" t="n">
        <v>2</v>
      </c>
      <c r="J55" s="40" t="s">
        <v>135</v>
      </c>
      <c r="K55" s="40" t="str">
        <f aca="false">IF(AND(OR($E55="Both",$E55=$C$6),OR($F55="",IFERROR(INDEX($F$5:$F$13,MATCH($F55,$E$5:$E$13,0)),"Y")="Y")),"Y","N")</f>
        <v>Y</v>
      </c>
      <c r="L55" s="40" t="n">
        <f aca="false">IF($K55="N",0,IF(IF($C$6="Auction",$H55,$I55)=0,0,ROUNDUP(IF($C$6="Auction",$H55,$I55)*(1+IF($J55="Y",$C$10,0)),0)))</f>
        <v>3</v>
      </c>
      <c r="M55" s="40" t="s">
        <v>322</v>
      </c>
      <c r="N55" s="21" t="n">
        <v>0</v>
      </c>
      <c r="O55" s="41" t="n">
        <f aca="false">MAX(WORKDAY($P$53,1+$N55,Holidays!$B$5:$B$60),WORKDAY($P$54,1+$N55,Holidays!$B$5:$B$60))</f>
        <v>46461</v>
      </c>
      <c r="P55" s="41" t="n">
        <f aca="false">IF($K55="N",WORKDAY($O55,-1,Holidays!$B$5:$B$60),IF($L55=0,$O55,WORKDAY($O55,$L55-1,Holidays!$B$5:$B$60)))</f>
        <v>46463</v>
      </c>
      <c r="Q55" s="21" t="s">
        <v>192</v>
      </c>
      <c r="R55" s="42" t="str">
        <f aca="false">IF(AND($G55="HOLD",$K55="Y"),"■ HOLD: go/no-go. ","")</f>
        <v/>
      </c>
      <c r="S55" s="43"/>
    </row>
    <row r="56" customFormat="false" ht="27.75" hidden="false" customHeight="true" outlineLevel="0" collapsed="false">
      <c r="A56" s="40" t="s">
        <v>323</v>
      </c>
      <c r="B56" s="40" t="s">
        <v>167</v>
      </c>
      <c r="C56" s="17" t="s">
        <v>324</v>
      </c>
      <c r="D56" s="40" t="s">
        <v>325</v>
      </c>
      <c r="E56" s="40" t="s">
        <v>191</v>
      </c>
      <c r="F56" s="40"/>
      <c r="G56" s="40"/>
      <c r="H56" s="21" t="n">
        <v>2</v>
      </c>
      <c r="I56" s="21" t="n">
        <v>2</v>
      </c>
      <c r="J56" s="40" t="s">
        <v>135</v>
      </c>
      <c r="K56" s="40" t="str">
        <f aca="false">IF(AND(OR($E56="Both",$E56=$C$6),OR($F56="",IFERROR(INDEX($F$5:$F$13,MATCH($F56,$E$5:$E$13,0)),"Y")="Y")),"Y","N")</f>
        <v>Y</v>
      </c>
      <c r="L56" s="40" t="n">
        <f aca="false">IF($K56="N",0,IF(IF($C$6="Auction",$H56,$I56)=0,0,ROUNDUP(IF($C$6="Auction",$H56,$I56)*(1+IF($J56="Y",$C$10,0)),0)))</f>
        <v>3</v>
      </c>
      <c r="M56" s="40" t="s">
        <v>322</v>
      </c>
      <c r="N56" s="21" t="n">
        <v>0</v>
      </c>
      <c r="O56" s="41" t="n">
        <f aca="false">MAX(WORKDAY($P$53,1+$N56,Holidays!$B$5:$B$60),WORKDAY($P$54,1+$N56,Holidays!$B$5:$B$60))</f>
        <v>46461</v>
      </c>
      <c r="P56" s="41" t="n">
        <f aca="false">IF($K56="N",WORKDAY($O56,-1,Holidays!$B$5:$B$60),IF($L56=0,$O56,WORKDAY($O56,$L56-1,Holidays!$B$5:$B$60)))</f>
        <v>46463</v>
      </c>
      <c r="Q56" s="21" t="s">
        <v>192</v>
      </c>
      <c r="R56" s="42" t="str">
        <f aca="false">IF(AND($G56="HOLD",$K56="Y"),"■ HOLD: go/no-go. ","")</f>
        <v/>
      </c>
      <c r="S56" s="43"/>
    </row>
    <row r="57" customFormat="false" ht="27.75" hidden="false" customHeight="true" outlineLevel="0" collapsed="false">
      <c r="A57" s="40" t="s">
        <v>326</v>
      </c>
      <c r="B57" s="40" t="s">
        <v>167</v>
      </c>
      <c r="C57" s="17" t="s">
        <v>327</v>
      </c>
      <c r="D57" s="40" t="s">
        <v>295</v>
      </c>
      <c r="E57" s="40" t="s">
        <v>191</v>
      </c>
      <c r="F57" s="40"/>
      <c r="G57" s="40"/>
      <c r="H57" s="21" t="n">
        <v>3</v>
      </c>
      <c r="I57" s="21" t="n">
        <v>3</v>
      </c>
      <c r="J57" s="40" t="s">
        <v>135</v>
      </c>
      <c r="K57" s="40" t="str">
        <f aca="false">IF(AND(OR($E57="Both",$E57=$C$6),OR($F57="",IFERROR(INDEX($F$5:$F$13,MATCH($F57,$E$5:$E$13,0)),"Y")="Y")),"Y","N")</f>
        <v>Y</v>
      </c>
      <c r="L57" s="40" t="n">
        <f aca="false">IF($K57="N",0,IF(IF($C$6="Auction",$H57,$I57)=0,0,ROUNDUP(IF($C$6="Auction",$H57,$I57)*(1+IF($J57="Y",$C$10,0)),0)))</f>
        <v>4</v>
      </c>
      <c r="M57" s="40" t="s">
        <v>319</v>
      </c>
      <c r="N57" s="21" t="n">
        <v>0</v>
      </c>
      <c r="O57" s="41" t="n">
        <f aca="false">WORKDAY($P$52,1+$N57,Holidays!$B$5:$B$60)</f>
        <v>46451</v>
      </c>
      <c r="P57" s="41" t="n">
        <f aca="false">IF($K57="N",WORKDAY($O57,-1,Holidays!$B$5:$B$60),IF($L57=0,$O57,WORKDAY($O57,$L57-1,Holidays!$B$5:$B$60)))</f>
        <v>46456</v>
      </c>
      <c r="Q57" s="21" t="s">
        <v>192</v>
      </c>
      <c r="R57" s="42" t="str">
        <f aca="false">IF(AND($G57="HOLD",$K57="Y"),"■ HOLD: go/no-go. ","")</f>
        <v/>
      </c>
      <c r="S57" s="43"/>
    </row>
    <row r="58" customFormat="false" ht="27.75" hidden="false" customHeight="true" outlineLevel="0" collapsed="false">
      <c r="A58" s="40" t="s">
        <v>328</v>
      </c>
      <c r="B58" s="40" t="s">
        <v>167</v>
      </c>
      <c r="C58" s="17" t="s">
        <v>329</v>
      </c>
      <c r="D58" s="40" t="s">
        <v>310</v>
      </c>
      <c r="E58" s="40" t="s">
        <v>191</v>
      </c>
      <c r="F58" s="40"/>
      <c r="G58" s="40"/>
      <c r="H58" s="21" t="n">
        <v>6</v>
      </c>
      <c r="I58" s="21" t="n">
        <v>6</v>
      </c>
      <c r="J58" s="40" t="s">
        <v>135</v>
      </c>
      <c r="K58" s="40" t="str">
        <f aca="false">IF(AND(OR($E58="Both",$E58=$C$6),OR($F58="",IFERROR(INDEX($F$5:$F$13,MATCH($F58,$E$5:$E$13,0)),"Y")="Y")),"Y","N")</f>
        <v>Y</v>
      </c>
      <c r="L58" s="40" t="n">
        <f aca="false">IF($K58="N",0,IF(IF($C$6="Auction",$H58,$I58)=0,0,ROUNDUP(IF($C$6="Auction",$H58,$I58)*(1+IF($J58="Y",$C$10,0)),0)))</f>
        <v>7</v>
      </c>
      <c r="M58" s="40" t="s">
        <v>330</v>
      </c>
      <c r="N58" s="21" t="n">
        <v>0</v>
      </c>
      <c r="O58" s="41" t="n">
        <f aca="false">MAX(WORKDAY($P$55,1+$N58,Holidays!$B$5:$B$60),WORKDAY($P$56,1+$N58,Holidays!$B$5:$B$60),WORKDAY($P$57,1+$N58,Holidays!$B$5:$B$60))</f>
        <v>46464</v>
      </c>
      <c r="P58" s="41" t="n">
        <f aca="false">IF($K58="N",WORKDAY($O58,-1,Holidays!$B$5:$B$60),IF($L58=0,$O58,WORKDAY($O58,$L58-1,Holidays!$B$5:$B$60)))</f>
        <v>46476</v>
      </c>
      <c r="Q58" s="21" t="s">
        <v>192</v>
      </c>
      <c r="R58" s="42" t="str">
        <f aca="false">IF(AND($G58="HOLD",$K58="Y"),"■ HOLD: go/no-go. ","")</f>
        <v/>
      </c>
      <c r="S58" s="43"/>
    </row>
    <row r="59" customFormat="false" ht="27.75" hidden="false" customHeight="true" outlineLevel="0" collapsed="false">
      <c r="A59" s="40" t="s">
        <v>331</v>
      </c>
      <c r="B59" s="40" t="s">
        <v>167</v>
      </c>
      <c r="C59" s="17" t="s">
        <v>332</v>
      </c>
      <c r="D59" s="40" t="s">
        <v>333</v>
      </c>
      <c r="E59" s="40" t="s">
        <v>191</v>
      </c>
      <c r="F59" s="40"/>
      <c r="G59" s="40"/>
      <c r="H59" s="21" t="n">
        <v>2</v>
      </c>
      <c r="I59" s="21" t="n">
        <v>2</v>
      </c>
      <c r="J59" s="40" t="s">
        <v>135</v>
      </c>
      <c r="K59" s="40" t="str">
        <f aca="false">IF(AND(OR($E59="Both",$E59=$C$6),OR($F59="",IFERROR(INDEX($F$5:$F$13,MATCH($F59,$E$5:$E$13,0)),"Y")="Y")),"Y","N")</f>
        <v>Y</v>
      </c>
      <c r="L59" s="40" t="n">
        <f aca="false">IF($K59="N",0,IF(IF($C$6="Auction",$H59,$I59)=0,0,ROUNDUP(IF($C$6="Auction",$H59,$I59)*(1+IF($J59="Y",$C$10,0)),0)))</f>
        <v>3</v>
      </c>
      <c r="M59" s="40" t="s">
        <v>334</v>
      </c>
      <c r="N59" s="21" t="n">
        <v>0</v>
      </c>
      <c r="O59" s="41" t="n">
        <f aca="false">WORKDAY($P$58,1+$N59,Holidays!$B$5:$B$60)</f>
        <v>46477</v>
      </c>
      <c r="P59" s="41" t="n">
        <f aca="false">IF($K59="N",WORKDAY($O59,-1,Holidays!$B$5:$B$60),IF($L59=0,$O59,WORKDAY($O59,$L59-1,Holidays!$B$5:$B$60)))</f>
        <v>46479</v>
      </c>
      <c r="Q59" s="21" t="s">
        <v>192</v>
      </c>
      <c r="R59" s="42" t="str">
        <f aca="false">IF(AND($G59="HOLD",$K59="Y"),"■ HOLD: go/no-go. ","")</f>
        <v/>
      </c>
      <c r="S59" s="43"/>
    </row>
    <row r="60" customFormat="false" ht="27.75" hidden="false" customHeight="true" outlineLevel="0" collapsed="false">
      <c r="A60" s="40" t="s">
        <v>335</v>
      </c>
      <c r="B60" s="40" t="s">
        <v>167</v>
      </c>
      <c r="C60" s="17" t="s">
        <v>336</v>
      </c>
      <c r="D60" s="40" t="s">
        <v>237</v>
      </c>
      <c r="E60" s="40" t="s">
        <v>191</v>
      </c>
      <c r="F60" s="40"/>
      <c r="G60" s="40"/>
      <c r="H60" s="21" t="n">
        <v>2</v>
      </c>
      <c r="I60" s="21" t="n">
        <v>2</v>
      </c>
      <c r="J60" s="40" t="s">
        <v>135</v>
      </c>
      <c r="K60" s="40" t="str">
        <f aca="false">IF(AND(OR($E60="Both",$E60=$C$6),OR($F60="",IFERROR(INDEX($F$5:$F$13,MATCH($F60,$E$5:$E$13,0)),"Y")="Y")),"Y","N")</f>
        <v>Y</v>
      </c>
      <c r="L60" s="40" t="n">
        <f aca="false">IF($K60="N",0,IF(IF($C$6="Auction",$H60,$I60)=0,0,ROUNDUP(IF($C$6="Auction",$H60,$I60)*(1+IF($J60="Y",$C$10,0)),0)))</f>
        <v>3</v>
      </c>
      <c r="M60" s="40" t="s">
        <v>334</v>
      </c>
      <c r="N60" s="21" t="n">
        <v>0</v>
      </c>
      <c r="O60" s="41" t="n">
        <f aca="false">WORKDAY($P$58,1+$N60,Holidays!$B$5:$B$60)</f>
        <v>46477</v>
      </c>
      <c r="P60" s="41" t="n">
        <f aca="false">IF($K60="N",WORKDAY($O60,-1,Holidays!$B$5:$B$60),IF($L60=0,$O60,WORKDAY($O60,$L60-1,Holidays!$B$5:$B$60)))</f>
        <v>46479</v>
      </c>
      <c r="Q60" s="21" t="s">
        <v>192</v>
      </c>
      <c r="R60" s="42" t="str">
        <f aca="false">IF(AND($G60="HOLD",$K60="Y"),"■ HOLD: go/no-go. ","")&amp;IF(AND($K60="Y",OR(MONTH($O60)&gt;=11,MONTH($O60)&lt;=2)),"⚠ External work in Nov–Feb: weather risk. ","")</f>
        <v/>
      </c>
      <c r="S60" s="43" t="s">
        <v>337</v>
      </c>
    </row>
    <row r="61" customFormat="false" ht="27.75" hidden="false" customHeight="true" outlineLevel="0" collapsed="false">
      <c r="A61" s="40" t="s">
        <v>110</v>
      </c>
      <c r="B61" s="40" t="s">
        <v>168</v>
      </c>
      <c r="C61" s="17" t="s">
        <v>338</v>
      </c>
      <c r="D61" s="40" t="s">
        <v>339</v>
      </c>
      <c r="E61" s="40" t="s">
        <v>191</v>
      </c>
      <c r="F61" s="40"/>
      <c r="G61" s="40"/>
      <c r="H61" s="21" t="n">
        <v>3</v>
      </c>
      <c r="I61" s="21" t="n">
        <v>3</v>
      </c>
      <c r="J61" s="40" t="s">
        <v>139</v>
      </c>
      <c r="K61" s="40" t="str">
        <f aca="false">IF(AND(OR($E61="Both",$E61=$C$6),OR($F61="",IFERROR(INDEX($F$5:$F$13,MATCH($F61,$E$5:$E$13,0)),"Y")="Y")),"Y","N")</f>
        <v>Y</v>
      </c>
      <c r="L61" s="40" t="n">
        <f aca="false">IF($K61="N",0,IF(IF($C$6="Auction",$H61,$I61)=0,0,ROUNDUP(IF($C$6="Auction",$H61,$I61)*(1+IF($J61="Y",$C$10,0)),0)))</f>
        <v>3</v>
      </c>
      <c r="M61" s="40" t="s">
        <v>340</v>
      </c>
      <c r="N61" s="21" t="n">
        <v>0</v>
      </c>
      <c r="O61" s="41" t="n">
        <f aca="false">MAX(WORKDAY($P$55,1+$N61,Holidays!$B$5:$B$60),WORKDAY($P$56,1+$N61,Holidays!$B$5:$B$60))</f>
        <v>46464</v>
      </c>
      <c r="P61" s="41" t="n">
        <f aca="false">IF($K61="N",WORKDAY($O61,-1,Holidays!$B$5:$B$60),IF($L61=0,$O61,WORKDAY($O61,$L61-1,Holidays!$B$5:$B$60)))</f>
        <v>46468</v>
      </c>
      <c r="Q61" s="21" t="s">
        <v>192</v>
      </c>
      <c r="R61" s="42" t="str">
        <f aca="false">IF(AND($G61="HOLD",$K61="Y"),"■ HOLD: go/no-go. ","")</f>
        <v/>
      </c>
      <c r="S61" s="43" t="s">
        <v>341</v>
      </c>
    </row>
    <row r="62" customFormat="false" ht="27.75" hidden="false" customHeight="true" outlineLevel="0" collapsed="false">
      <c r="A62" s="40" t="s">
        <v>342</v>
      </c>
      <c r="B62" s="40" t="s">
        <v>168</v>
      </c>
      <c r="C62" s="17" t="s">
        <v>343</v>
      </c>
      <c r="D62" s="40" t="s">
        <v>266</v>
      </c>
      <c r="E62" s="40" t="s">
        <v>191</v>
      </c>
      <c r="F62" s="40"/>
      <c r="G62" s="40"/>
      <c r="H62" s="21" t="n">
        <v>3</v>
      </c>
      <c r="I62" s="21" t="n">
        <v>3</v>
      </c>
      <c r="J62" s="40" t="s">
        <v>139</v>
      </c>
      <c r="K62" s="40" t="str">
        <f aca="false">IF(AND(OR($E62="Both",$E62=$C$6),OR($F62="",IFERROR(INDEX($F$5:$F$13,MATCH($F62,$E$5:$E$13,0)),"Y")="Y")),"Y","N")</f>
        <v>Y</v>
      </c>
      <c r="L62" s="40" t="n">
        <f aca="false">IF($K62="N",0,IF(IF($C$6="Auction",$H62,$I62)=0,0,ROUNDUP(IF($C$6="Auction",$H62,$I62)*(1+IF($J62="Y",$C$10,0)),0)))</f>
        <v>3</v>
      </c>
      <c r="M62" s="40" t="s">
        <v>344</v>
      </c>
      <c r="N62" s="21" t="n">
        <v>0</v>
      </c>
      <c r="O62" s="41" t="n">
        <f aca="false">MAX(WORKDAY($P$59,1+$N62,Holidays!$B$5:$B$60),WORKDAY($P$60,1+$N62,Holidays!$B$5:$B$60))</f>
        <v>46482</v>
      </c>
      <c r="P62" s="41" t="n">
        <f aca="false">IF($K62="N",WORKDAY($O62,-1,Holidays!$B$5:$B$60),IF($L62=0,$O62,WORKDAY($O62,$L62-1,Holidays!$B$5:$B$60)))</f>
        <v>46484</v>
      </c>
      <c r="Q62" s="21" t="s">
        <v>192</v>
      </c>
      <c r="R62" s="42" t="str">
        <f aca="false">IF(AND($G62="HOLD",$K62="Y"),"■ HOLD: go/no-go. ","")</f>
        <v/>
      </c>
      <c r="S62" s="43"/>
    </row>
    <row r="63" customFormat="false" ht="27.75" hidden="false" customHeight="true" outlineLevel="0" collapsed="false">
      <c r="A63" s="40" t="s">
        <v>345</v>
      </c>
      <c r="B63" s="40" t="s">
        <v>168</v>
      </c>
      <c r="C63" s="17" t="s">
        <v>346</v>
      </c>
      <c r="D63" s="40" t="s">
        <v>190</v>
      </c>
      <c r="E63" s="40" t="s">
        <v>191</v>
      </c>
      <c r="F63" s="40"/>
      <c r="G63" s="40" t="s">
        <v>221</v>
      </c>
      <c r="H63" s="21" t="n">
        <v>0</v>
      </c>
      <c r="I63" s="21" t="n">
        <v>0</v>
      </c>
      <c r="J63" s="40" t="s">
        <v>139</v>
      </c>
      <c r="K63" s="40" t="str">
        <f aca="false">IF(AND(OR($E63="Both",$E63=$C$6),OR($F63="",IFERROR(INDEX($F$5:$F$13,MATCH($F63,$E$5:$E$13,0)),"Y")="Y")),"Y","N")</f>
        <v>Y</v>
      </c>
      <c r="L63" s="40" t="n">
        <f aca="false">IF($K63="N",0,IF(IF($C$6="Auction",$H63,$I63)=0,0,ROUNDUP(IF($C$6="Auction",$H63,$I63)*(1+IF($J63="Y",$C$10,0)),0)))</f>
        <v>0</v>
      </c>
      <c r="M63" s="40" t="s">
        <v>347</v>
      </c>
      <c r="N63" s="21" t="n">
        <v>0</v>
      </c>
      <c r="O63" s="41" t="n">
        <f aca="false">WORKDAY($P$62,1+$N63,Holidays!$B$5:$B$60)</f>
        <v>46485</v>
      </c>
      <c r="P63" s="41" t="n">
        <f aca="false">IF($K63="N",WORKDAY($O63,-1,Holidays!$B$5:$B$60),IF($L63=0,$O63,WORKDAY($O63,$L63-1,Holidays!$B$5:$B$60)))</f>
        <v>46485</v>
      </c>
      <c r="Q63" s="21" t="s">
        <v>192</v>
      </c>
      <c r="R63" s="42" t="str">
        <f aca="false">IF(AND($G63="HOLD",$K63="Y"),"■ HOLD: go/no-go. ","")</f>
        <v>■ HOLD: go/no-go. </v>
      </c>
      <c r="S63" s="43" t="s">
        <v>348</v>
      </c>
    </row>
    <row r="64" customFormat="false" ht="27.75" hidden="false" customHeight="true" outlineLevel="0" collapsed="false">
      <c r="A64" s="40" t="s">
        <v>113</v>
      </c>
      <c r="B64" s="40" t="s">
        <v>168</v>
      </c>
      <c r="C64" s="17" t="s">
        <v>111</v>
      </c>
      <c r="D64" s="40" t="s">
        <v>349</v>
      </c>
      <c r="E64" s="40" t="s">
        <v>191</v>
      </c>
      <c r="F64" s="40"/>
      <c r="G64" s="40"/>
      <c r="H64" s="21" t="n">
        <v>2</v>
      </c>
      <c r="I64" s="21" t="n">
        <v>2</v>
      </c>
      <c r="J64" s="40" t="s">
        <v>139</v>
      </c>
      <c r="K64" s="40" t="str">
        <f aca="false">IF(AND(OR($E64="Both",$E64=$C$6),OR($F64="",IFERROR(INDEX($F$5:$F$13,MATCH($F64,$E$5:$E$13,0)),"Y")="Y")),"Y","N")</f>
        <v>Y</v>
      </c>
      <c r="L64" s="40" t="n">
        <f aca="false">IF($K64="N",0,IF(IF($C$6="Auction",$H64,$I64)=0,0,ROUNDUP(IF($C$6="Auction",$H64,$I64)*(1+IF($J64="Y",$C$10,0)),0)))</f>
        <v>2</v>
      </c>
      <c r="M64" s="40" t="s">
        <v>347</v>
      </c>
      <c r="N64" s="21" t="n">
        <v>0</v>
      </c>
      <c r="O64" s="41" t="n">
        <f aca="false">WORKDAY($P$62,1+$N64,Holidays!$B$5:$B$60)</f>
        <v>46485</v>
      </c>
      <c r="P64" s="41" t="n">
        <f aca="false">IF($K64="N",WORKDAY($O64,-1,Holidays!$B$5:$B$60),IF($L64=0,$O64,WORKDAY($O64,$L64-1,Holidays!$B$5:$B$60)))</f>
        <v>46486</v>
      </c>
      <c r="Q64" s="21" t="s">
        <v>192</v>
      </c>
      <c r="R64" s="42" t="str">
        <f aca="false">IF(AND($G64="HOLD",$K64="Y"),"■ HOLD: go/no-go. ","")</f>
        <v/>
      </c>
      <c r="S64" s="43" t="s">
        <v>112</v>
      </c>
    </row>
    <row r="65" customFormat="false" ht="27.75" hidden="false" customHeight="true" outlineLevel="0" collapsed="false">
      <c r="A65" s="40" t="s">
        <v>350</v>
      </c>
      <c r="B65" s="40" t="s">
        <v>168</v>
      </c>
      <c r="C65" s="17" t="s">
        <v>351</v>
      </c>
      <c r="D65" s="40" t="s">
        <v>190</v>
      </c>
      <c r="E65" s="40" t="s">
        <v>191</v>
      </c>
      <c r="F65" s="40"/>
      <c r="G65" s="40"/>
      <c r="H65" s="21" t="n">
        <v>3</v>
      </c>
      <c r="I65" s="21" t="n">
        <v>3</v>
      </c>
      <c r="J65" s="40" t="s">
        <v>139</v>
      </c>
      <c r="K65" s="40" t="str">
        <f aca="false">IF(AND(OR($E65="Both",$E65=$C$6),OR($F65="",IFERROR(INDEX($F$5:$F$13,MATCH($F65,$E$5:$E$13,0)),"Y")="Y")),"Y","N")</f>
        <v>Y</v>
      </c>
      <c r="L65" s="40" t="n">
        <f aca="false">IF($K65="N",0,IF(IF($C$6="Auction",$H65,$I65)=0,0,ROUNDUP(IF($C$6="Auction",$H65,$I65)*(1+IF($J65="Y",$C$10,0)),0)))</f>
        <v>3</v>
      </c>
      <c r="M65" s="40" t="s">
        <v>347</v>
      </c>
      <c r="N65" s="21" t="n">
        <v>0</v>
      </c>
      <c r="O65" s="41" t="n">
        <f aca="false">WORKDAY($P$62,1+$N65,Holidays!$B$5:$B$60)</f>
        <v>46485</v>
      </c>
      <c r="P65" s="41" t="n">
        <f aca="false">IF($K65="N",WORKDAY($O65,-1,Holidays!$B$5:$B$60),IF($L65=0,$O65,WORKDAY($O65,$L65-1,Holidays!$B$5:$B$60)))</f>
        <v>46489</v>
      </c>
      <c r="Q65" s="21" t="s">
        <v>192</v>
      </c>
      <c r="R65" s="42" t="str">
        <f aca="false">IF(AND($G65="HOLD",$K65="Y"),"■ HOLD: go/no-go. ","")</f>
        <v/>
      </c>
      <c r="S65" s="43"/>
    </row>
    <row r="66" customFormat="false" ht="27.75" hidden="false" customHeight="true" outlineLevel="0" collapsed="false">
      <c r="A66" s="40" t="s">
        <v>116</v>
      </c>
      <c r="B66" s="40" t="s">
        <v>169</v>
      </c>
      <c r="C66" s="17" t="s">
        <v>352</v>
      </c>
      <c r="D66" s="40" t="s">
        <v>190</v>
      </c>
      <c r="E66" s="40" t="s">
        <v>191</v>
      </c>
      <c r="F66" s="40"/>
      <c r="G66" s="40"/>
      <c r="H66" s="21" t="n">
        <v>3</v>
      </c>
      <c r="I66" s="21" t="n">
        <v>3</v>
      </c>
      <c r="J66" s="40" t="s">
        <v>139</v>
      </c>
      <c r="K66" s="40" t="str">
        <f aca="false">IF(AND(OR($E66="Both",$E66=$C$6),OR($F66="",IFERROR(INDEX($F$5:$F$13,MATCH($F66,$E$5:$E$13,0)),"Y")="Y")),"Y","N")</f>
        <v>Y</v>
      </c>
      <c r="L66" s="40" t="n">
        <f aca="false">IF($K66="N",0,IF(IF($C$6="Auction",$H66,$I66)=0,0,ROUNDUP(IF($C$6="Auction",$H66,$I66)*(1+IF($J66="Y",$C$10,0)),0)))</f>
        <v>3</v>
      </c>
      <c r="M66" s="40" t="s">
        <v>353</v>
      </c>
      <c r="N66" s="21" t="n">
        <v>0</v>
      </c>
      <c r="O66" s="41" t="n">
        <f aca="false">WORKDAY($O$62,$N66,Holidays!$B$5:$B$60)</f>
        <v>46482</v>
      </c>
      <c r="P66" s="41" t="n">
        <f aca="false">IF($K66="N",WORKDAY($O66,-1,Holidays!$B$5:$B$60),IF($L66=0,$O66,WORKDAY($O66,$L66-1,Holidays!$B$5:$B$60)))</f>
        <v>46484</v>
      </c>
      <c r="Q66" s="21" t="s">
        <v>192</v>
      </c>
      <c r="R66" s="42" t="str">
        <f aca="false">IF(AND($G66="HOLD",$K66="Y"),"■ HOLD: go/no-go. ","")</f>
        <v/>
      </c>
      <c r="S66" s="43" t="s">
        <v>354</v>
      </c>
    </row>
    <row r="67" customFormat="false" ht="27.75" hidden="false" customHeight="true" outlineLevel="0" collapsed="false">
      <c r="A67" s="40" t="s">
        <v>355</v>
      </c>
      <c r="B67" s="40" t="s">
        <v>169</v>
      </c>
      <c r="C67" s="17" t="s">
        <v>356</v>
      </c>
      <c r="D67" s="40" t="s">
        <v>357</v>
      </c>
      <c r="E67" s="40" t="s">
        <v>191</v>
      </c>
      <c r="F67" s="40"/>
      <c r="G67" s="40"/>
      <c r="H67" s="21" t="n">
        <v>0</v>
      </c>
      <c r="I67" s="21" t="n">
        <v>0</v>
      </c>
      <c r="J67" s="40" t="s">
        <v>139</v>
      </c>
      <c r="K67" s="40" t="str">
        <f aca="false">IF(AND(OR($E67="Both",$E67=$C$6),OR($F67="",IFERROR(INDEX($F$5:$F$13,MATCH($F67,$E$5:$E$13,0)),"Y")="Y")),"Y","N")</f>
        <v>Y</v>
      </c>
      <c r="L67" s="40" t="n">
        <f aca="false">IF($K67="N",0,IF(IF($C$6="Auction",$H67,$I67)=0,0,ROUNDUP(IF($C$6="Auction",$H67,$I67)*(1+IF($J67="Y",$C$10,0)),0)))</f>
        <v>0</v>
      </c>
      <c r="M67" s="40" t="s">
        <v>358</v>
      </c>
      <c r="N67" s="21" t="n">
        <v>0</v>
      </c>
      <c r="O67" s="41" t="n">
        <f aca="false">MAX(WORKDAY($P$66,1+$N67,Holidays!$B$5:$B$60),WORKDAY($P$64,1+$N67,Holidays!$B$5:$B$60),WORKDAY($P$65,1+$N67,Holidays!$B$5:$B$60))</f>
        <v>46490</v>
      </c>
      <c r="P67" s="41" t="n">
        <f aca="false">IF($K67="N",WORKDAY($O67,-1,Holidays!$B$5:$B$60),IF($L67=0,$O67,WORKDAY($O67,$L67-1,Holidays!$B$5:$B$60)))</f>
        <v>46490</v>
      </c>
      <c r="Q67" s="21" t="s">
        <v>192</v>
      </c>
      <c r="R67" s="42" t="str">
        <f aca="false">IF(AND($G67="HOLD",$K67="Y"),"■ HOLD: go/no-go. ","")&amp;IF(OR(MONTH($O67)=8,MONTH($O67)=11,MONTH($O67)=12),"⚠ Listing in a slow month (Aug/Nov/Dec). ","")</f>
        <v/>
      </c>
      <c r="S67" s="43"/>
    </row>
    <row r="68" customFormat="false" ht="27.75" hidden="false" customHeight="true" outlineLevel="0" collapsed="false">
      <c r="A68" s="40" t="s">
        <v>359</v>
      </c>
      <c r="B68" s="40" t="s">
        <v>169</v>
      </c>
      <c r="C68" s="17" t="s">
        <v>360</v>
      </c>
      <c r="D68" s="40" t="s">
        <v>357</v>
      </c>
      <c r="E68" s="40" t="s">
        <v>191</v>
      </c>
      <c r="F68" s="40"/>
      <c r="G68" s="40"/>
      <c r="H68" s="44" t="n">
        <f aca="false">$C$12</f>
        <v>30</v>
      </c>
      <c r="I68" s="44" t="n">
        <f aca="false">$C$12</f>
        <v>30</v>
      </c>
      <c r="J68" s="40" t="s">
        <v>139</v>
      </c>
      <c r="K68" s="40" t="str">
        <f aca="false">IF(AND(OR($E68="Both",$E68=$C$6),OR($F68="",IFERROR(INDEX($F$5:$F$13,MATCH($F68,$E$5:$E$13,0)),"Y")="Y")),"Y","N")</f>
        <v>Y</v>
      </c>
      <c r="L68" s="40" t="n">
        <f aca="false">IF($K68="N",0,IF(IF($C$6="Auction",$H68,$I68)=0,0,ROUNDUP(IF($C$6="Auction",$H68,$I68)*(1+IF($J68="Y",$C$10,0)),0)))</f>
        <v>30</v>
      </c>
      <c r="M68" s="40" t="s">
        <v>361</v>
      </c>
      <c r="N68" s="21" t="n">
        <v>0</v>
      </c>
      <c r="O68" s="41" t="n">
        <f aca="false">WORKDAY($P$67,1+$N68,Holidays!$B$5:$B$60)</f>
        <v>46491</v>
      </c>
      <c r="P68" s="41" t="n">
        <f aca="false">IF($K68="N",WORKDAY($O68,-1,Holidays!$B$5:$B$60),IF($L68=0,$O68,WORKDAY($O68,$L68-1,Holidays!$B$5:$B$60)))</f>
        <v>46533</v>
      </c>
      <c r="Q68" s="21" t="s">
        <v>192</v>
      </c>
      <c r="R68" s="42" t="str">
        <f aca="false">IF(AND($G68="HOLD",$K68="Y"),"■ HOLD: go/no-go. ","")</f>
        <v/>
      </c>
      <c r="S68" s="43" t="s">
        <v>362</v>
      </c>
    </row>
    <row r="69" customFormat="false" ht="27.75" hidden="false" customHeight="true" outlineLevel="0" collapsed="false">
      <c r="A69" s="40" t="s">
        <v>363</v>
      </c>
      <c r="B69" s="40" t="s">
        <v>169</v>
      </c>
      <c r="C69" s="17" t="s">
        <v>364</v>
      </c>
      <c r="D69" s="40" t="s">
        <v>365</v>
      </c>
      <c r="E69" s="40" t="s">
        <v>191</v>
      </c>
      <c r="F69" s="40"/>
      <c r="G69" s="40"/>
      <c r="H69" s="21" t="n">
        <v>10</v>
      </c>
      <c r="I69" s="21" t="n">
        <v>10</v>
      </c>
      <c r="J69" s="40" t="s">
        <v>139</v>
      </c>
      <c r="K69" s="40" t="str">
        <f aca="false">IF(AND(OR($E69="Both",$E69=$C$6),OR($F69="",IFERROR(INDEX($F$5:$F$13,MATCH($F69,$E$5:$E$13,0)),"Y")="Y")),"Y","N")</f>
        <v>Y</v>
      </c>
      <c r="L69" s="40" t="n">
        <f aca="false">IF($K69="N",0,IF(IF($C$6="Auction",$H69,$I69)=0,0,ROUNDUP(IF($C$6="Auction",$H69,$I69)*(1+IF($J69="Y",$C$10,0)),0)))</f>
        <v>10</v>
      </c>
      <c r="M69" s="40" t="s">
        <v>366</v>
      </c>
      <c r="N69" s="21" t="n">
        <v>0</v>
      </c>
      <c r="O69" s="41" t="n">
        <f aca="false">WORKDAY($P$68,1+$N69,Holidays!$B$5:$B$60)</f>
        <v>46534</v>
      </c>
      <c r="P69" s="41" t="n">
        <f aca="false">IF($K69="N",WORKDAY($O69,-1,Holidays!$B$5:$B$60),IF($L69=0,$O69,WORKDAY($O69,$L69-1,Holidays!$B$5:$B$60)))</f>
        <v>46548</v>
      </c>
      <c r="Q69" s="21" t="s">
        <v>192</v>
      </c>
      <c r="R69" s="42" t="str">
        <f aca="false">IF(AND($G69="HOLD",$K69="Y"),"■ HOLD: go/no-go. ","")</f>
        <v/>
      </c>
      <c r="S69" s="43"/>
    </row>
    <row r="70" customFormat="false" ht="27.75" hidden="false" customHeight="true" outlineLevel="0" collapsed="false">
      <c r="A70" s="40" t="s">
        <v>120</v>
      </c>
      <c r="B70" s="40" t="s">
        <v>169</v>
      </c>
      <c r="C70" s="17" t="s">
        <v>367</v>
      </c>
      <c r="D70" s="40" t="s">
        <v>230</v>
      </c>
      <c r="E70" s="40" t="s">
        <v>191</v>
      </c>
      <c r="F70" s="40"/>
      <c r="G70" s="40"/>
      <c r="H70" s="21" t="n">
        <v>40</v>
      </c>
      <c r="I70" s="21" t="n">
        <v>40</v>
      </c>
      <c r="J70" s="40" t="s">
        <v>139</v>
      </c>
      <c r="K70" s="40" t="str">
        <f aca="false">IF(AND(OR($E70="Both",$E70=$C$6),OR($F70="",IFERROR(INDEX($F$5:$F$13,MATCH($F70,$E$5:$E$13,0)),"Y")="Y")),"Y","N")</f>
        <v>Y</v>
      </c>
      <c r="L70" s="40" t="n">
        <f aca="false">IF($K70="N",0,IF(IF($C$6="Auction",$H70,$I70)=0,0,ROUNDUP(IF($C$6="Auction",$H70,$I70)*(1+IF($J70="Y",$C$10,0)),0)))</f>
        <v>40</v>
      </c>
      <c r="M70" s="40" t="s">
        <v>366</v>
      </c>
      <c r="N70" s="21" t="n">
        <v>0</v>
      </c>
      <c r="O70" s="41" t="n">
        <f aca="false">WORKDAY($P$68,1+$N70,Holidays!$B$5:$B$60)</f>
        <v>46534</v>
      </c>
      <c r="P70" s="41" t="n">
        <f aca="false">IF($K70="N",WORKDAY($O70,-1,Holidays!$B$5:$B$60),IF($L70=0,$O70,WORKDAY($O70,$L70-1,Holidays!$B$5:$B$60)))</f>
        <v>46590</v>
      </c>
      <c r="Q70" s="21" t="s">
        <v>192</v>
      </c>
      <c r="R70" s="42" t="str">
        <f aca="false">IF(AND($G70="HOLD",$K70="Y"),"■ HOLD: go/no-go. ","")</f>
        <v/>
      </c>
      <c r="S70" s="43" t="s">
        <v>368</v>
      </c>
    </row>
    <row r="71" customFormat="false" ht="27.75" hidden="false" customHeight="true" outlineLevel="0" collapsed="false">
      <c r="A71" s="40" t="s">
        <v>369</v>
      </c>
      <c r="B71" s="40" t="s">
        <v>169</v>
      </c>
      <c r="C71" s="17" t="s">
        <v>370</v>
      </c>
      <c r="D71" s="40" t="s">
        <v>230</v>
      </c>
      <c r="E71" s="40" t="s">
        <v>191</v>
      </c>
      <c r="F71" s="40"/>
      <c r="G71" s="40"/>
      <c r="H71" s="21" t="n">
        <v>0</v>
      </c>
      <c r="I71" s="21" t="n">
        <v>0</v>
      </c>
      <c r="J71" s="40" t="s">
        <v>139</v>
      </c>
      <c r="K71" s="40" t="str">
        <f aca="false">IF(AND(OR($E71="Both",$E71=$C$6),OR($F71="",IFERROR(INDEX($F$5:$F$13,MATCH($F71,$E$5:$E$13,0)),"Y")="Y")),"Y","N")</f>
        <v>Y</v>
      </c>
      <c r="L71" s="40" t="n">
        <f aca="false">IF($K71="N",0,IF(IF($C$6="Auction",$H71,$I71)=0,0,ROUNDUP(IF($C$6="Auction",$H71,$I71)*(1+IF($J71="Y",$C$10,0)),0)))</f>
        <v>0</v>
      </c>
      <c r="M71" s="40" t="s">
        <v>371</v>
      </c>
      <c r="N71" s="21" t="n">
        <v>0</v>
      </c>
      <c r="O71" s="41" t="n">
        <f aca="false">MAX(WORKDAY($P$69,1+$N71,Holidays!$B$5:$B$60),WORKDAY($P$70,1+$N71,Holidays!$B$5:$B$60),WORKDAY($P$61,1+$N71,Holidays!$B$5:$B$60))</f>
        <v>46591</v>
      </c>
      <c r="P71" s="41" t="n">
        <f aca="false">IF($K71="N",WORKDAY($O71,-1,Holidays!$B$5:$B$60),IF($L71=0,$O71,WORKDAY($O71,$L71-1,Holidays!$B$5:$B$60)))</f>
        <v>46591</v>
      </c>
      <c r="Q71" s="21" t="s">
        <v>192</v>
      </c>
      <c r="R71" s="42" t="str">
        <f aca="false">IF(AND($G71="HOLD",$K71="Y"),"■ HOLD: go/no-go. ","")</f>
        <v/>
      </c>
      <c r="S71" s="43"/>
    </row>
    <row r="72" customFormat="false" ht="27.75" hidden="false" customHeight="true" outlineLevel="0" collapsed="false">
      <c r="A72" s="40" t="s">
        <v>123</v>
      </c>
      <c r="B72" s="40" t="s">
        <v>169</v>
      </c>
      <c r="C72" s="17" t="s">
        <v>372</v>
      </c>
      <c r="D72" s="40" t="s">
        <v>212</v>
      </c>
      <c r="E72" s="40" t="s">
        <v>191</v>
      </c>
      <c r="F72" s="40"/>
      <c r="G72" s="40"/>
      <c r="H72" s="21" t="n">
        <v>0</v>
      </c>
      <c r="I72" s="21" t="n">
        <v>0</v>
      </c>
      <c r="J72" s="40" t="s">
        <v>139</v>
      </c>
      <c r="K72" s="40" t="str">
        <f aca="false">IF(AND(OR($E72="Both",$E72=$C$6),OR($F72="",IFERROR(INDEX($F$5:$F$13,MATCH($F72,$E$5:$E$13,0)),"Y")="Y")),"Y","N")</f>
        <v>Y</v>
      </c>
      <c r="L72" s="40" t="n">
        <f aca="false">IF($K72="N",0,IF(IF($C$6="Auction",$H72,$I72)=0,0,ROUNDUP(IF($C$6="Auction",$H72,$I72)*(1+IF($J72="Y",$C$10,0)),0)))</f>
        <v>0</v>
      </c>
      <c r="M72" s="40" t="s">
        <v>373</v>
      </c>
      <c r="N72" s="45" t="n">
        <f aca="false">$C$15-1</f>
        <v>9</v>
      </c>
      <c r="O72" s="41" t="n">
        <f aca="false">WORKDAY($P$71,1+$N72,Holidays!$B$5:$B$60)</f>
        <v>46605</v>
      </c>
      <c r="P72" s="41" t="n">
        <f aca="false">IF($K72="N",WORKDAY($O72,-1,Holidays!$B$5:$B$60),IF($L72=0,$O72,WORKDAY($O72,$L72-1,Holidays!$B$5:$B$60)))</f>
        <v>46605</v>
      </c>
      <c r="Q72" s="21" t="s">
        <v>192</v>
      </c>
      <c r="R72" s="42" t="str">
        <f aca="false">IF(AND($G72="HOLD",$K72="Y"),"■ HOLD: go/no-go. ","")&amp;IF(($P72-$P$32)/30.44&gt;$C$13,"⚠ Sale completes after bridge term: extension cost. ","")</f>
        <v/>
      </c>
      <c r="S72" s="43" t="s">
        <v>374</v>
      </c>
    </row>
    <row r="73" customFormat="false" ht="27.75" hidden="false" customHeight="true" outlineLevel="0" collapsed="false">
      <c r="A73" s="40" t="s">
        <v>375</v>
      </c>
      <c r="B73" s="40" t="s">
        <v>169</v>
      </c>
      <c r="C73" s="17" t="s">
        <v>376</v>
      </c>
      <c r="D73" s="40" t="s">
        <v>190</v>
      </c>
      <c r="E73" s="40" t="s">
        <v>191</v>
      </c>
      <c r="F73" s="40"/>
      <c r="G73" s="40"/>
      <c r="H73" s="21" t="n">
        <v>0</v>
      </c>
      <c r="I73" s="21" t="n">
        <v>0</v>
      </c>
      <c r="J73" s="40" t="s">
        <v>139</v>
      </c>
      <c r="K73" s="40" t="str">
        <f aca="false">IF(AND(OR($E73="Both",$E73=$C$6),OR($F73="",IFERROR(INDEX($F$5:$F$13,MATCH($F73,$E$5:$E$13,0)),"Y")="Y")),"Y","N")</f>
        <v>Y</v>
      </c>
      <c r="L73" s="40" t="n">
        <f aca="false">IF($K73="N",0,IF(IF($C$6="Auction",$H73,$I73)=0,0,ROUNDUP(IF($C$6="Auction",$H73,$I73)*(1+IF($J73="Y",$C$10,0)),0)))</f>
        <v>0</v>
      </c>
      <c r="M73" s="40" t="s">
        <v>377</v>
      </c>
      <c r="N73" s="21" t="n">
        <v>60</v>
      </c>
      <c r="O73" s="41" t="n">
        <f aca="false">WORKDAY($P$63,1+$N73,Holidays!$B$5:$B$60)</f>
        <v>46574</v>
      </c>
      <c r="P73" s="41" t="n">
        <f aca="false">IF($K73="N",WORKDAY($O73,-1,Holidays!$B$5:$B$60),IF($L73=0,$O73,WORKDAY($O73,$L73-1,Holidays!$B$5:$B$60)))</f>
        <v>46574</v>
      </c>
      <c r="Q73" s="21" t="s">
        <v>192</v>
      </c>
      <c r="R73" s="42" t="str">
        <f aca="false">IF(AND($G73="HOLD",$K73="Y"),"■ HOLD: go/no-go. ","")</f>
        <v/>
      </c>
      <c r="S73" s="43" t="s">
        <v>378</v>
      </c>
    </row>
    <row r="74" customFormat="false" ht="27.75" hidden="false" customHeight="true" outlineLevel="0" collapsed="false">
      <c r="A74" s="40" t="s">
        <v>126</v>
      </c>
      <c r="B74" s="40" t="s">
        <v>169</v>
      </c>
      <c r="C74" s="17" t="s">
        <v>379</v>
      </c>
      <c r="D74" s="40" t="s">
        <v>190</v>
      </c>
      <c r="E74" s="40" t="s">
        <v>191</v>
      </c>
      <c r="F74" s="40"/>
      <c r="G74" s="40"/>
      <c r="H74" s="21" t="n">
        <v>2</v>
      </c>
      <c r="I74" s="21" t="n">
        <v>2</v>
      </c>
      <c r="J74" s="40" t="s">
        <v>139</v>
      </c>
      <c r="K74" s="40" t="str">
        <f aca="false">IF(AND(OR($E74="Both",$E74=$C$6),OR($F74="",IFERROR(INDEX($F$5:$F$13,MATCH($F74,$E$5:$E$13,0)),"Y")="Y")),"Y","N")</f>
        <v>Y</v>
      </c>
      <c r="L74" s="40" t="n">
        <f aca="false">IF($K74="N",0,IF(IF($C$6="Auction",$H74,$I74)=0,0,ROUNDUP(IF($C$6="Auction",$H74,$I74)*(1+IF($J74="Y",$C$10,0)),0)))</f>
        <v>2</v>
      </c>
      <c r="M74" s="40" t="s">
        <v>380</v>
      </c>
      <c r="N74" s="21" t="n">
        <v>0</v>
      </c>
      <c r="O74" s="41" t="n">
        <f aca="false">WORKDAY($P$72,1+$N74,Holidays!$B$5:$B$60)</f>
        <v>46608</v>
      </c>
      <c r="P74" s="41" t="n">
        <f aca="false">IF($K74="N",WORKDAY($O74,-1,Holidays!$B$5:$B$60),IF($L74=0,$O74,WORKDAY($O74,$L74-1,Holidays!$B$5:$B$60)))</f>
        <v>46609</v>
      </c>
      <c r="Q74" s="21" t="s">
        <v>192</v>
      </c>
      <c r="R74" s="42" t="str">
        <f aca="false">IF(AND($G74="HOLD",$K74="Y"),"■ HOLD: go/no-go. ","")</f>
        <v/>
      </c>
      <c r="S74" s="43" t="s">
        <v>381</v>
      </c>
    </row>
  </sheetData>
  <conditionalFormatting sqref="U21:CB74">
    <cfRule type="expression" priority="2" aboveAverage="0" equalAverage="0" bottom="0" percent="0" rank="0" text="" dxfId="4">
      <formula>AND($K21="Y",$L21=0,$O21&gt;=U$20,$O21&lt;U$20+7)</formula>
    </cfRule>
    <cfRule type="expression" priority="3" aboveAverage="0" equalAverage="0" bottom="0" percent="0" rank="0" text="" dxfId="0">
      <formula>AND($K21="Y",$L21&gt;0,$B21="A Purchase &amp; DD",$O21&lt;U$20+7,$P21&gt;=U$20)</formula>
    </cfRule>
    <cfRule type="expression" priority="4" aboveAverage="0" equalAverage="0" bottom="0" percent="0" rank="0" text="" dxfId="5">
      <formula>AND($K21="Y",$L21&gt;0,$B21="B Pre-start",$O21&lt;U$20+7,$P21&gt;=U$20)</formula>
    </cfRule>
    <cfRule type="expression" priority="5" aboveAverage="0" equalAverage="0" bottom="0" percent="0" rank="0" text="" dxfId="1">
      <formula>AND($K21="Y",$L21&gt;0,$B21="C Strip-out &amp; structure",$O21&lt;U$20+7,$P21&gt;=U$20)</formula>
    </cfRule>
    <cfRule type="expression" priority="6" aboveAverage="0" equalAverage="0" bottom="0" percent="0" rank="0" text="" dxfId="6">
      <formula>AND($K21="Y",$L21&gt;0,$B21="D First fix",$O21&lt;U$20+7,$P21&gt;=U$20)</formula>
    </cfRule>
    <cfRule type="expression" priority="7" aboveAverage="0" equalAverage="0" bottom="0" percent="0" rank="0" text="" dxfId="7">
      <formula>AND($K21="Y",$L21&gt;0,$B21="E Plaster",$O21&lt;U$20+7,$P21&gt;=U$20)</formula>
    </cfRule>
    <cfRule type="expression" priority="8" aboveAverage="0" equalAverage="0" bottom="0" percent="0" rank="0" text="" dxfId="8">
      <formula>AND($K21="Y",$L21&gt;0,$B21="F Second fix &amp; finish",$O21&lt;U$20+7,$P21&gt;=U$20)</formula>
    </cfRule>
    <cfRule type="expression" priority="9" aboveAverage="0" equalAverage="0" bottom="0" percent="0" rank="0" text="" dxfId="9">
      <formula>AND($K21="Y",$L21&gt;0,$B21="G Sign-off",$O21&lt;U$20+7,$P21&gt;=U$20)</formula>
    </cfRule>
    <cfRule type="expression" priority="10" aboveAverage="0" equalAverage="0" bottom="0" percent="0" rank="0" text="" dxfId="2">
      <formula>AND($K21="Y",$L21&gt;0,$B21="H Sale &amp; close-out",$O21&lt;U$20+7,$P21&gt;=U$20)</formula>
    </cfRule>
    <cfRule type="expression" priority="11" aboveAverage="0" equalAverage="0" bottom="0" percent="0" rank="0" text="" dxfId="10">
      <formula>AND(TODAY()&gt;=U$20,TODAY()&lt;U$20+7)</formula>
    </cfRule>
  </conditionalFormatting>
  <conditionalFormatting sqref="U20:CB20">
    <cfRule type="expression" priority="12" aboveAverage="0" equalAverage="0" bottom="0" percent="0" rank="0" text="" dxfId="11">
      <formula>AND(TODAY()&gt;=U$20,TODAY()&lt;U$20+7)</formula>
    </cfRule>
  </conditionalFormatting>
  <conditionalFormatting sqref="A21:S74">
    <cfRule type="expression" priority="13" aboveAverage="0" equalAverage="0" bottom="0" percent="0" rank="0" text="" dxfId="12">
      <formula>$K21="N"</formula>
    </cfRule>
  </conditionalFormatting>
  <conditionalFormatting sqref="A21:G74">
    <cfRule type="expression" priority="14" aboveAverage="0" equalAverage="0" bottom="0" percent="0" rank="0" text="" dxfId="13">
      <formula>$G21="HOLD"</formula>
    </cfRule>
  </conditionalFormatting>
  <conditionalFormatting sqref="Q21:Q74">
    <cfRule type="expression" priority="15" aboveAverage="0" equalAverage="0" bottom="0" percent="0" rank="0" text="" dxfId="14">
      <formula>$Q21="Done"</formula>
    </cfRule>
    <cfRule type="expression" priority="16" aboveAverage="0" equalAverage="0" bottom="0" percent="0" rank="0" text="" dxfId="15">
      <formula>$Q21="Delayed"</formula>
    </cfRule>
  </conditionalFormatting>
  <dataValidations count="4">
    <dataValidation allowBlank="false" errorStyle="stop" operator="between" showDropDown="false" showErrorMessage="false" showInputMessage="false" sqref="C6" type="list">
      <formula1>"Auction,Estate agent"</formula1>
      <formula2>0</formula2>
    </dataValidation>
    <dataValidation allowBlank="false" errorStyle="stop" operator="between" showDropDown="false" showErrorMessage="false" showInputMessage="false" sqref="F5:F13 J21:J74" type="list">
      <formula1>"Y,N"</formula1>
      <formula2>0</formula2>
    </dataValidation>
    <dataValidation allowBlank="true" errorStyle="stop" operator="between" showDropDown="false" showErrorMessage="false" showInputMessage="false" sqref="Q21:Q74" type="list">
      <formula1>"Not started,In progress,Done,Delayed"</formula1>
      <formula2>0</formula2>
    </dataValidation>
    <dataValidation allowBlank="false" errorStyle="stop" operator="greaterThan" showDropDown="false" showErrorMessage="false" showInputMessage="false" sqref="C7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0" topLeftCell="D21" activePane="bottomRight" state="frozen"/>
      <selection pane="topLeft" activeCell="A1" activeCellId="0" sqref="A1"/>
      <selection pane="topRight" activeCell="D1" activeCellId="0" sqref="D1"/>
      <selection pane="bottomLeft" activeCell="A21" activeCellId="0" sqref="A2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5" min="4" style="0" width="1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8"/>
    <col collapsed="false" customWidth="true" hidden="false" outlineLevel="0" max="14" min="14" style="0" width="8"/>
    <col collapsed="false" customWidth="true" hidden="false" outlineLevel="0" max="17" min="15" style="0" width="12"/>
    <col collapsed="false" customWidth="true" hidden="false" outlineLevel="0" max="18" min="18" style="0" width="38"/>
    <col collapsed="false" customWidth="true" hidden="false" outlineLevel="0" max="19" min="19" style="0" width="48"/>
    <col collapsed="false" customWidth="true" hidden="false" outlineLevel="0" max="20" min="20" style="0" width="2"/>
    <col collapsed="false" customWidth="true" hidden="false" outlineLevel="0" max="80" min="21" style="0" width="3.2"/>
  </cols>
  <sheetData>
    <row r="1" customFormat="false" ht="19.7" hidden="false" customHeight="false" outlineLevel="0" collapsed="false">
      <c r="A1" s="1" t="s">
        <v>382</v>
      </c>
    </row>
    <row r="2" customFormat="false" ht="15" hidden="false" customHeight="false" outlineLevel="0" collapsed="false">
      <c r="A2" s="4" t="s">
        <v>128</v>
      </c>
    </row>
    <row r="4" customFormat="false" ht="15" hidden="false" customHeight="false" outlineLevel="0" collapsed="false">
      <c r="B4" s="19" t="s">
        <v>129</v>
      </c>
      <c r="C4" s="20"/>
      <c r="E4" s="19" t="s">
        <v>130</v>
      </c>
      <c r="F4" s="20"/>
      <c r="H4" s="19" t="s">
        <v>131</v>
      </c>
      <c r="I4" s="20"/>
    </row>
    <row r="5" customFormat="false" ht="15" hidden="false" customHeight="false" outlineLevel="0" collapsed="false">
      <c r="B5" s="15" t="s">
        <v>132</v>
      </c>
      <c r="C5" s="21" t="s">
        <v>383</v>
      </c>
      <c r="E5" s="15" t="s">
        <v>134</v>
      </c>
      <c r="F5" s="18" t="s">
        <v>135</v>
      </c>
      <c r="H5" s="15" t="s">
        <v>31</v>
      </c>
      <c r="I5" s="22" t="n">
        <f aca="false">$P$32</f>
        <v>46477</v>
      </c>
    </row>
    <row r="6" customFormat="false" ht="15" hidden="false" customHeight="false" outlineLevel="0" collapsed="false">
      <c r="B6" s="15" t="s">
        <v>136</v>
      </c>
      <c r="C6" s="21" t="s">
        <v>213</v>
      </c>
      <c r="E6" s="15" t="s">
        <v>138</v>
      </c>
      <c r="F6" s="18" t="s">
        <v>139</v>
      </c>
      <c r="H6" s="15" t="s">
        <v>140</v>
      </c>
      <c r="I6" s="22" t="n">
        <f aca="false">$O$40</f>
        <v>46485</v>
      </c>
    </row>
    <row r="7" customFormat="false" ht="15" hidden="false" customHeight="false" outlineLevel="0" collapsed="false">
      <c r="B7" s="15" t="s">
        <v>141</v>
      </c>
      <c r="C7" s="23" t="n">
        <v>46419</v>
      </c>
      <c r="E7" s="15" t="s">
        <v>142</v>
      </c>
      <c r="F7" s="18" t="s">
        <v>135</v>
      </c>
      <c r="H7" s="15" t="s">
        <v>33</v>
      </c>
      <c r="I7" s="22" t="n">
        <f aca="false">$O$63</f>
        <v>46563</v>
      </c>
    </row>
    <row r="8" customFormat="false" ht="15" hidden="false" customHeight="false" outlineLevel="0" collapsed="false">
      <c r="B8" s="15" t="s">
        <v>143</v>
      </c>
      <c r="C8" s="24" t="n">
        <v>28</v>
      </c>
      <c r="E8" s="15" t="s">
        <v>144</v>
      </c>
      <c r="F8" s="18" t="s">
        <v>139</v>
      </c>
      <c r="H8" s="15" t="s">
        <v>34</v>
      </c>
      <c r="I8" s="22" t="n">
        <f aca="false">$O$67</f>
        <v>46568</v>
      </c>
    </row>
    <row r="9" customFormat="false" ht="15" hidden="false" customHeight="false" outlineLevel="0" collapsed="false">
      <c r="B9" s="15" t="s">
        <v>145</v>
      </c>
      <c r="C9" s="24" t="n">
        <v>10</v>
      </c>
      <c r="E9" s="15" t="s">
        <v>146</v>
      </c>
      <c r="F9" s="18" t="s">
        <v>135</v>
      </c>
      <c r="H9" s="15" t="s">
        <v>147</v>
      </c>
      <c r="I9" s="22" t="n">
        <f aca="false">$P$68</f>
        <v>46610</v>
      </c>
    </row>
    <row r="10" customFormat="false" ht="15" hidden="false" customHeight="false" outlineLevel="0" collapsed="false">
      <c r="B10" s="15" t="s">
        <v>148</v>
      </c>
      <c r="C10" s="25" t="n">
        <v>0.15</v>
      </c>
      <c r="E10" s="15" t="s">
        <v>149</v>
      </c>
      <c r="F10" s="18" t="s">
        <v>135</v>
      </c>
      <c r="H10" s="15" t="s">
        <v>35</v>
      </c>
      <c r="I10" s="22" t="n">
        <f aca="false">$P$72</f>
        <v>46682</v>
      </c>
    </row>
    <row r="11" customFormat="false" ht="15" hidden="false" customHeight="false" outlineLevel="0" collapsed="false">
      <c r="B11" s="15" t="s">
        <v>150</v>
      </c>
      <c r="C11" s="24" t="n">
        <v>3</v>
      </c>
      <c r="E11" s="15" t="s">
        <v>151</v>
      </c>
      <c r="F11" s="18" t="s">
        <v>135</v>
      </c>
      <c r="H11" s="15" t="s">
        <v>152</v>
      </c>
      <c r="I11" s="26" t="n">
        <f aca="false">NETWORKDAYS($I$6,$I$7,Holidays!$B$5:$B$60)</f>
        <v>55</v>
      </c>
    </row>
    <row r="12" customFormat="false" ht="15" hidden="false" customHeight="false" outlineLevel="0" collapsed="false">
      <c r="B12" s="15" t="s">
        <v>153</v>
      </c>
      <c r="C12" s="24" t="n">
        <v>30</v>
      </c>
      <c r="E12" s="15" t="s">
        <v>154</v>
      </c>
      <c r="F12" s="18" t="s">
        <v>135</v>
      </c>
      <c r="H12" s="15" t="s">
        <v>155</v>
      </c>
      <c r="I12" s="27" t="n">
        <f aca="false">($I$10-$I$5)/30.44</f>
        <v>6.73455978975033</v>
      </c>
    </row>
    <row r="13" customFormat="false" ht="15" hidden="false" customHeight="false" outlineLevel="0" collapsed="false">
      <c r="B13" s="15" t="s">
        <v>156</v>
      </c>
      <c r="C13" s="24" t="n">
        <v>12</v>
      </c>
      <c r="E13" s="15" t="s">
        <v>157</v>
      </c>
      <c r="F13" s="18" t="s">
        <v>135</v>
      </c>
      <c r="H13" s="15" t="s">
        <v>37</v>
      </c>
      <c r="I13" s="28" t="n">
        <f aca="false">$C$13-$I$12</f>
        <v>5.26544021024967</v>
      </c>
    </row>
    <row r="14" customFormat="false" ht="15" hidden="false" customHeight="false" outlineLevel="0" collapsed="false">
      <c r="B14" s="15" t="s">
        <v>29</v>
      </c>
      <c r="C14" s="21" t="s">
        <v>384</v>
      </c>
      <c r="H14" s="15" t="s">
        <v>159</v>
      </c>
      <c r="I14" s="26" t="n">
        <f aca="false">$I$10-$C$7</f>
        <v>263</v>
      </c>
    </row>
    <row r="15" customFormat="false" ht="15" hidden="false" customHeight="false" outlineLevel="0" collapsed="false">
      <c r="B15" s="15" t="s">
        <v>160</v>
      </c>
      <c r="C15" s="24" t="n">
        <v>10</v>
      </c>
    </row>
    <row r="17" customFormat="false" ht="25.5" hidden="false" customHeight="true" outlineLevel="0" collapsed="false">
      <c r="B17" s="6" t="s">
        <v>161</v>
      </c>
      <c r="C17" s="29" t="s">
        <v>162</v>
      </c>
      <c r="D17" s="30" t="s">
        <v>163</v>
      </c>
      <c r="E17" s="31" t="s">
        <v>164</v>
      </c>
      <c r="F17" s="32" t="s">
        <v>165</v>
      </c>
      <c r="G17" s="33" t="s">
        <v>166</v>
      </c>
      <c r="H17" s="34" t="s">
        <v>167</v>
      </c>
      <c r="I17" s="35" t="s">
        <v>168</v>
      </c>
      <c r="J17" s="36" t="s">
        <v>169</v>
      </c>
      <c r="K17" s="37" t="s">
        <v>170</v>
      </c>
    </row>
    <row r="19" customFormat="false" ht="15" hidden="false" customHeight="false" outlineLevel="0" collapsed="false">
      <c r="U19" s="37" t="str">
        <f aca="false">TEXT(U20,"mmm yy")</f>
        <v>Feb 27</v>
      </c>
      <c r="V19" s="37" t="str">
        <f aca="false">IF(MONTH(V20)&lt;&gt;MONTH(U20),TEXT(V20,"mmm yy"),"")</f>
        <v/>
      </c>
      <c r="W19" s="37" t="str">
        <f aca="false">IF(MONTH(W20)&lt;&gt;MONTH(V20),TEXT(W20,"mmm yy"),"")</f>
        <v/>
      </c>
      <c r="X19" s="37" t="str">
        <f aca="false">IF(MONTH(X20)&lt;&gt;MONTH(W20),TEXT(X20,"mmm yy"),"")</f>
        <v/>
      </c>
      <c r="Y19" s="37" t="str">
        <f aca="false">IF(MONTH(Y20)&lt;&gt;MONTH(X20),TEXT(Y20,"mmm yy"),"")</f>
        <v>Mar 27</v>
      </c>
      <c r="Z19" s="37" t="str">
        <f aca="false">IF(MONTH(Z20)&lt;&gt;MONTH(Y20),TEXT(Z20,"mmm yy"),"")</f>
        <v/>
      </c>
      <c r="AA19" s="37" t="str">
        <f aca="false">IF(MONTH(AA20)&lt;&gt;MONTH(Z20),TEXT(AA20,"mmm yy"),"")</f>
        <v/>
      </c>
      <c r="AB19" s="37" t="str">
        <f aca="false">IF(MONTH(AB20)&lt;&gt;MONTH(AA20),TEXT(AB20,"mmm yy"),"")</f>
        <v/>
      </c>
      <c r="AC19" s="37" t="str">
        <f aca="false">IF(MONTH(AC20)&lt;&gt;MONTH(AB20),TEXT(AC20,"mmm yy"),"")</f>
        <v/>
      </c>
      <c r="AD19" s="37" t="str">
        <f aca="false">IF(MONTH(AD20)&lt;&gt;MONTH(AC20),TEXT(AD20,"mmm yy"),"")</f>
        <v>Apr 27</v>
      </c>
      <c r="AE19" s="37" t="str">
        <f aca="false">IF(MONTH(AE20)&lt;&gt;MONTH(AD20),TEXT(AE20,"mmm yy"),"")</f>
        <v/>
      </c>
      <c r="AF19" s="37" t="str">
        <f aca="false">IF(MONTH(AF20)&lt;&gt;MONTH(AE20),TEXT(AF20,"mmm yy"),"")</f>
        <v/>
      </c>
      <c r="AG19" s="37" t="str">
        <f aca="false">IF(MONTH(AG20)&lt;&gt;MONTH(AF20),TEXT(AG20,"mmm yy"),"")</f>
        <v/>
      </c>
      <c r="AH19" s="37" t="str">
        <f aca="false">IF(MONTH(AH20)&lt;&gt;MONTH(AG20),TEXT(AH20,"mmm yy"),"")</f>
        <v>May 27</v>
      </c>
      <c r="AI19" s="37" t="str">
        <f aca="false">IF(MONTH(AI20)&lt;&gt;MONTH(AH20),TEXT(AI20,"mmm yy"),"")</f>
        <v/>
      </c>
      <c r="AJ19" s="37" t="str">
        <f aca="false">IF(MONTH(AJ20)&lt;&gt;MONTH(AI20),TEXT(AJ20,"mmm yy"),"")</f>
        <v/>
      </c>
      <c r="AK19" s="37" t="str">
        <f aca="false">IF(MONTH(AK20)&lt;&gt;MONTH(AJ20),TEXT(AK20,"mmm yy"),"")</f>
        <v/>
      </c>
      <c r="AL19" s="37" t="str">
        <f aca="false">IF(MONTH(AL20)&lt;&gt;MONTH(AK20),TEXT(AL20,"mmm yy"),"")</f>
        <v/>
      </c>
      <c r="AM19" s="37" t="str">
        <f aca="false">IF(MONTH(AM20)&lt;&gt;MONTH(AL20),TEXT(AM20,"mmm yy"),"")</f>
        <v>Jun 27</v>
      </c>
      <c r="AN19" s="37" t="str">
        <f aca="false">IF(MONTH(AN20)&lt;&gt;MONTH(AM20),TEXT(AN20,"mmm yy"),"")</f>
        <v/>
      </c>
      <c r="AO19" s="37" t="str">
        <f aca="false">IF(MONTH(AO20)&lt;&gt;MONTH(AN20),TEXT(AO20,"mmm yy"),"")</f>
        <v/>
      </c>
      <c r="AP19" s="37" t="str">
        <f aca="false">IF(MONTH(AP20)&lt;&gt;MONTH(AO20),TEXT(AP20,"mmm yy"),"")</f>
        <v/>
      </c>
      <c r="AQ19" s="37" t="str">
        <f aca="false">IF(MONTH(AQ20)&lt;&gt;MONTH(AP20),TEXT(AQ20,"mmm yy"),"")</f>
        <v>Jul 27</v>
      </c>
      <c r="AR19" s="37" t="str">
        <f aca="false">IF(MONTH(AR20)&lt;&gt;MONTH(AQ20),TEXT(AR20,"mmm yy"),"")</f>
        <v/>
      </c>
      <c r="AS19" s="37" t="str">
        <f aca="false">IF(MONTH(AS20)&lt;&gt;MONTH(AR20),TEXT(AS20,"mmm yy"),"")</f>
        <v/>
      </c>
      <c r="AT19" s="37" t="str">
        <f aca="false">IF(MONTH(AT20)&lt;&gt;MONTH(AS20),TEXT(AT20,"mmm yy"),"")</f>
        <v/>
      </c>
      <c r="AU19" s="37" t="str">
        <f aca="false">IF(MONTH(AU20)&lt;&gt;MONTH(AT20),TEXT(AU20,"mmm yy"),"")</f>
        <v>Aug 27</v>
      </c>
      <c r="AV19" s="37" t="str">
        <f aca="false">IF(MONTH(AV20)&lt;&gt;MONTH(AU20),TEXT(AV20,"mmm yy"),"")</f>
        <v/>
      </c>
      <c r="AW19" s="37" t="str">
        <f aca="false">IF(MONTH(AW20)&lt;&gt;MONTH(AV20),TEXT(AW20,"mmm yy"),"")</f>
        <v/>
      </c>
      <c r="AX19" s="37" t="str">
        <f aca="false">IF(MONTH(AX20)&lt;&gt;MONTH(AW20),TEXT(AX20,"mmm yy"),"")</f>
        <v/>
      </c>
      <c r="AY19" s="37" t="str">
        <f aca="false">IF(MONTH(AY20)&lt;&gt;MONTH(AX20),TEXT(AY20,"mmm yy"),"")</f>
        <v/>
      </c>
      <c r="AZ19" s="37" t="str">
        <f aca="false">IF(MONTH(AZ20)&lt;&gt;MONTH(AY20),TEXT(AZ20,"mmm yy"),"")</f>
        <v>Sep 27</v>
      </c>
      <c r="BA19" s="37" t="str">
        <f aca="false">IF(MONTH(BA20)&lt;&gt;MONTH(AZ20),TEXT(BA20,"mmm yy"),"")</f>
        <v/>
      </c>
      <c r="BB19" s="37" t="str">
        <f aca="false">IF(MONTH(BB20)&lt;&gt;MONTH(BA20),TEXT(BB20,"mmm yy"),"")</f>
        <v/>
      </c>
      <c r="BC19" s="37" t="str">
        <f aca="false">IF(MONTH(BC20)&lt;&gt;MONTH(BB20),TEXT(BC20,"mmm yy"),"")</f>
        <v/>
      </c>
      <c r="BD19" s="37" t="str">
        <f aca="false">IF(MONTH(BD20)&lt;&gt;MONTH(BC20),TEXT(BD20,"mmm yy"),"")</f>
        <v>Oct 27</v>
      </c>
      <c r="BE19" s="37" t="str">
        <f aca="false">IF(MONTH(BE20)&lt;&gt;MONTH(BD20),TEXT(BE20,"mmm yy"),"")</f>
        <v/>
      </c>
      <c r="BF19" s="37" t="str">
        <f aca="false">IF(MONTH(BF20)&lt;&gt;MONTH(BE20),TEXT(BF20,"mmm yy"),"")</f>
        <v/>
      </c>
      <c r="BG19" s="37" t="str">
        <f aca="false">IF(MONTH(BG20)&lt;&gt;MONTH(BF20),TEXT(BG20,"mmm yy"),"")</f>
        <v/>
      </c>
      <c r="BH19" s="37" t="str">
        <f aca="false">IF(MONTH(BH20)&lt;&gt;MONTH(BG20),TEXT(BH20,"mmm yy"),"")</f>
        <v>Nov 27</v>
      </c>
      <c r="BI19" s="37" t="str">
        <f aca="false">IF(MONTH(BI20)&lt;&gt;MONTH(BH20),TEXT(BI20,"mmm yy"),"")</f>
        <v/>
      </c>
      <c r="BJ19" s="37" t="str">
        <f aca="false">IF(MONTH(BJ20)&lt;&gt;MONTH(BI20),TEXT(BJ20,"mmm yy"),"")</f>
        <v/>
      </c>
      <c r="BK19" s="37" t="str">
        <f aca="false">IF(MONTH(BK20)&lt;&gt;MONTH(BJ20),TEXT(BK20,"mmm yy"),"")</f>
        <v/>
      </c>
      <c r="BL19" s="37" t="str">
        <f aca="false">IF(MONTH(BL20)&lt;&gt;MONTH(BK20),TEXT(BL20,"mmm yy"),"")</f>
        <v/>
      </c>
      <c r="BM19" s="37" t="str">
        <f aca="false">IF(MONTH(BM20)&lt;&gt;MONTH(BL20),TEXT(BM20,"mmm yy"),"")</f>
        <v>Dec 27</v>
      </c>
      <c r="BN19" s="37" t="str">
        <f aca="false">IF(MONTH(BN20)&lt;&gt;MONTH(BM20),TEXT(BN20,"mmm yy"),"")</f>
        <v/>
      </c>
      <c r="BO19" s="37" t="str">
        <f aca="false">IF(MONTH(BO20)&lt;&gt;MONTH(BN20),TEXT(BO20,"mmm yy"),"")</f>
        <v/>
      </c>
      <c r="BP19" s="37" t="str">
        <f aca="false">IF(MONTH(BP20)&lt;&gt;MONTH(BO20),TEXT(BP20,"mmm yy"),"")</f>
        <v/>
      </c>
      <c r="BQ19" s="37" t="str">
        <f aca="false">IF(MONTH(BQ20)&lt;&gt;MONTH(BP20),TEXT(BQ20,"mmm yy"),"")</f>
        <v>Jan 28</v>
      </c>
      <c r="BR19" s="37" t="str">
        <f aca="false">IF(MONTH(BR20)&lt;&gt;MONTH(BQ20),TEXT(BR20,"mmm yy"),"")</f>
        <v/>
      </c>
      <c r="BS19" s="37" t="str">
        <f aca="false">IF(MONTH(BS20)&lt;&gt;MONTH(BR20),TEXT(BS20,"mmm yy"),"")</f>
        <v/>
      </c>
      <c r="BT19" s="37" t="str">
        <f aca="false">IF(MONTH(BT20)&lt;&gt;MONTH(BS20),TEXT(BT20,"mmm yy"),"")</f>
        <v/>
      </c>
      <c r="BU19" s="37" t="str">
        <f aca="false">IF(MONTH(BU20)&lt;&gt;MONTH(BT20),TEXT(BU20,"mmm yy"),"")</f>
        <v/>
      </c>
      <c r="BV19" s="37" t="str">
        <f aca="false">IF(MONTH(BV20)&lt;&gt;MONTH(BU20),TEXT(BV20,"mmm yy"),"")</f>
        <v>Feb 28</v>
      </c>
      <c r="BW19" s="37" t="str">
        <f aca="false">IF(MONTH(BW20)&lt;&gt;MONTH(BV20),TEXT(BW20,"mmm yy"),"")</f>
        <v/>
      </c>
      <c r="BX19" s="37" t="str">
        <f aca="false">IF(MONTH(BX20)&lt;&gt;MONTH(BW20),TEXT(BX20,"mmm yy"),"")</f>
        <v/>
      </c>
      <c r="BY19" s="37" t="str">
        <f aca="false">IF(MONTH(BY20)&lt;&gt;MONTH(BX20),TEXT(BY20,"mmm yy"),"")</f>
        <v/>
      </c>
      <c r="BZ19" s="37" t="str">
        <f aca="false">IF(MONTH(BZ20)&lt;&gt;MONTH(BY20),TEXT(BZ20,"mmm yy"),"")</f>
        <v>Mar 28</v>
      </c>
      <c r="CA19" s="37" t="str">
        <f aca="false">IF(MONTH(CA20)&lt;&gt;MONTH(BZ20),TEXT(CA20,"mmm yy"),"")</f>
        <v/>
      </c>
      <c r="CB19" s="37" t="str">
        <f aca="false">IF(MONTH(CB20)&lt;&gt;MONTH(CA20),TEXT(CB20,"mmm yy"),"")</f>
        <v/>
      </c>
    </row>
    <row r="20" customFormat="false" ht="42" hidden="false" customHeight="true" outlineLevel="0" collapsed="false">
      <c r="A20" s="38" t="s">
        <v>171</v>
      </c>
      <c r="B20" s="38" t="s">
        <v>172</v>
      </c>
      <c r="C20" s="38" t="s">
        <v>173</v>
      </c>
      <c r="D20" s="38" t="s">
        <v>174</v>
      </c>
      <c r="E20" s="38" t="s">
        <v>28</v>
      </c>
      <c r="F20" s="38" t="s">
        <v>175</v>
      </c>
      <c r="G20" s="38" t="s">
        <v>176</v>
      </c>
      <c r="H20" s="38" t="s">
        <v>177</v>
      </c>
      <c r="I20" s="38" t="s">
        <v>178</v>
      </c>
      <c r="J20" s="38" t="s">
        <v>179</v>
      </c>
      <c r="K20" s="38" t="s">
        <v>180</v>
      </c>
      <c r="L20" s="38" t="s">
        <v>181</v>
      </c>
      <c r="M20" s="38" t="s">
        <v>182</v>
      </c>
      <c r="N20" s="38" t="s">
        <v>183</v>
      </c>
      <c r="O20" s="38" t="s">
        <v>42</v>
      </c>
      <c r="P20" s="38" t="s">
        <v>184</v>
      </c>
      <c r="Q20" s="38" t="s">
        <v>185</v>
      </c>
      <c r="R20" s="38" t="s">
        <v>186</v>
      </c>
      <c r="S20" s="38" t="s">
        <v>187</v>
      </c>
      <c r="U20" s="39" t="n">
        <f aca="false">$O$21-WEEKDAY($O$21,3)</f>
        <v>46419</v>
      </c>
      <c r="V20" s="39" t="n">
        <f aca="false">U20+7</f>
        <v>46426</v>
      </c>
      <c r="W20" s="39" t="n">
        <f aca="false">V20+7</f>
        <v>46433</v>
      </c>
      <c r="X20" s="39" t="n">
        <f aca="false">W20+7</f>
        <v>46440</v>
      </c>
      <c r="Y20" s="39" t="n">
        <f aca="false">X20+7</f>
        <v>46447</v>
      </c>
      <c r="Z20" s="39" t="n">
        <f aca="false">Y20+7</f>
        <v>46454</v>
      </c>
      <c r="AA20" s="39" t="n">
        <f aca="false">Z20+7</f>
        <v>46461</v>
      </c>
      <c r="AB20" s="39" t="n">
        <f aca="false">AA20+7</f>
        <v>46468</v>
      </c>
      <c r="AC20" s="39" t="n">
        <f aca="false">AB20+7</f>
        <v>46475</v>
      </c>
      <c r="AD20" s="39" t="n">
        <f aca="false">AC20+7</f>
        <v>46482</v>
      </c>
      <c r="AE20" s="39" t="n">
        <f aca="false">AD20+7</f>
        <v>46489</v>
      </c>
      <c r="AF20" s="39" t="n">
        <f aca="false">AE20+7</f>
        <v>46496</v>
      </c>
      <c r="AG20" s="39" t="n">
        <f aca="false">AF20+7</f>
        <v>46503</v>
      </c>
      <c r="AH20" s="39" t="n">
        <f aca="false">AG20+7</f>
        <v>46510</v>
      </c>
      <c r="AI20" s="39" t="n">
        <f aca="false">AH20+7</f>
        <v>46517</v>
      </c>
      <c r="AJ20" s="39" t="n">
        <f aca="false">AI20+7</f>
        <v>46524</v>
      </c>
      <c r="AK20" s="39" t="n">
        <f aca="false">AJ20+7</f>
        <v>46531</v>
      </c>
      <c r="AL20" s="39" t="n">
        <f aca="false">AK20+7</f>
        <v>46538</v>
      </c>
      <c r="AM20" s="39" t="n">
        <f aca="false">AL20+7</f>
        <v>46545</v>
      </c>
      <c r="AN20" s="39" t="n">
        <f aca="false">AM20+7</f>
        <v>46552</v>
      </c>
      <c r="AO20" s="39" t="n">
        <f aca="false">AN20+7</f>
        <v>46559</v>
      </c>
      <c r="AP20" s="39" t="n">
        <f aca="false">AO20+7</f>
        <v>46566</v>
      </c>
      <c r="AQ20" s="39" t="n">
        <f aca="false">AP20+7</f>
        <v>46573</v>
      </c>
      <c r="AR20" s="39" t="n">
        <f aca="false">AQ20+7</f>
        <v>46580</v>
      </c>
      <c r="AS20" s="39" t="n">
        <f aca="false">AR20+7</f>
        <v>46587</v>
      </c>
      <c r="AT20" s="39" t="n">
        <f aca="false">AS20+7</f>
        <v>46594</v>
      </c>
      <c r="AU20" s="39" t="n">
        <f aca="false">AT20+7</f>
        <v>46601</v>
      </c>
      <c r="AV20" s="39" t="n">
        <f aca="false">AU20+7</f>
        <v>46608</v>
      </c>
      <c r="AW20" s="39" t="n">
        <f aca="false">AV20+7</f>
        <v>46615</v>
      </c>
      <c r="AX20" s="39" t="n">
        <f aca="false">AW20+7</f>
        <v>46622</v>
      </c>
      <c r="AY20" s="39" t="n">
        <f aca="false">AX20+7</f>
        <v>46629</v>
      </c>
      <c r="AZ20" s="39" t="n">
        <f aca="false">AY20+7</f>
        <v>46636</v>
      </c>
      <c r="BA20" s="39" t="n">
        <f aca="false">AZ20+7</f>
        <v>46643</v>
      </c>
      <c r="BB20" s="39" t="n">
        <f aca="false">BA20+7</f>
        <v>46650</v>
      </c>
      <c r="BC20" s="39" t="n">
        <f aca="false">BB20+7</f>
        <v>46657</v>
      </c>
      <c r="BD20" s="39" t="n">
        <f aca="false">BC20+7</f>
        <v>46664</v>
      </c>
      <c r="BE20" s="39" t="n">
        <f aca="false">BD20+7</f>
        <v>46671</v>
      </c>
      <c r="BF20" s="39" t="n">
        <f aca="false">BE20+7</f>
        <v>46678</v>
      </c>
      <c r="BG20" s="39" t="n">
        <f aca="false">BF20+7</f>
        <v>46685</v>
      </c>
      <c r="BH20" s="39" t="n">
        <f aca="false">BG20+7</f>
        <v>46692</v>
      </c>
      <c r="BI20" s="39" t="n">
        <f aca="false">BH20+7</f>
        <v>46699</v>
      </c>
      <c r="BJ20" s="39" t="n">
        <f aca="false">BI20+7</f>
        <v>46706</v>
      </c>
      <c r="BK20" s="39" t="n">
        <f aca="false">BJ20+7</f>
        <v>46713</v>
      </c>
      <c r="BL20" s="39" t="n">
        <f aca="false">BK20+7</f>
        <v>46720</v>
      </c>
      <c r="BM20" s="39" t="n">
        <f aca="false">BL20+7</f>
        <v>46727</v>
      </c>
      <c r="BN20" s="39" t="n">
        <f aca="false">BM20+7</f>
        <v>46734</v>
      </c>
      <c r="BO20" s="39" t="n">
        <f aca="false">BN20+7</f>
        <v>46741</v>
      </c>
      <c r="BP20" s="39" t="n">
        <f aca="false">BO20+7</f>
        <v>46748</v>
      </c>
      <c r="BQ20" s="39" t="n">
        <f aca="false">BP20+7</f>
        <v>46755</v>
      </c>
      <c r="BR20" s="39" t="n">
        <f aca="false">BQ20+7</f>
        <v>46762</v>
      </c>
      <c r="BS20" s="39" t="n">
        <f aca="false">BR20+7</f>
        <v>46769</v>
      </c>
      <c r="BT20" s="39" t="n">
        <f aca="false">BS20+7</f>
        <v>46776</v>
      </c>
      <c r="BU20" s="39" t="n">
        <f aca="false">BT20+7</f>
        <v>46783</v>
      </c>
      <c r="BV20" s="39" t="n">
        <f aca="false">BU20+7</f>
        <v>46790</v>
      </c>
      <c r="BW20" s="39" t="n">
        <f aca="false">BV20+7</f>
        <v>46797</v>
      </c>
      <c r="BX20" s="39" t="n">
        <f aca="false">BW20+7</f>
        <v>46804</v>
      </c>
      <c r="BY20" s="39" t="n">
        <f aca="false">BX20+7</f>
        <v>46811</v>
      </c>
      <c r="BZ20" s="39" t="n">
        <f aca="false">BY20+7</f>
        <v>46818</v>
      </c>
      <c r="CA20" s="39" t="n">
        <f aca="false">BZ20+7</f>
        <v>46825</v>
      </c>
      <c r="CB20" s="39" t="n">
        <f aca="false">CA20+7</f>
        <v>46832</v>
      </c>
    </row>
    <row r="21" customFormat="false" ht="27.75" hidden="false" customHeight="true" outlineLevel="0" collapsed="false">
      <c r="A21" s="40" t="s">
        <v>188</v>
      </c>
      <c r="B21" s="40" t="s">
        <v>162</v>
      </c>
      <c r="C21" s="17" t="s">
        <v>189</v>
      </c>
      <c r="D21" s="40" t="s">
        <v>190</v>
      </c>
      <c r="E21" s="40" t="s">
        <v>191</v>
      </c>
      <c r="F21" s="40"/>
      <c r="G21" s="40"/>
      <c r="H21" s="21" t="n">
        <v>0</v>
      </c>
      <c r="I21" s="21" t="n">
        <v>0</v>
      </c>
      <c r="J21" s="40" t="s">
        <v>139</v>
      </c>
      <c r="K21" s="40" t="str">
        <f aca="false">IF(AND(OR($E21="Both",$E21=$C$6),OR($F21="",IFERROR(INDEX($F$5:$F$13,MATCH($F21,$E$5:$E$13,0)),"Y")="Y")),"Y","N")</f>
        <v>Y</v>
      </c>
      <c r="L21" s="40" t="n">
        <f aca="false">IF($K21="N",0,IF(IF($C$6="Auction",$H21,$I21)=0,0,ROUNDUP(IF($C$6="Auction",$H21,$I21)*(1+IF($J21="Y",$C$10,0)),0)))</f>
        <v>0</v>
      </c>
      <c r="M21" s="40" t="s">
        <v>65</v>
      </c>
      <c r="N21" s="21" t="n">
        <v>0</v>
      </c>
      <c r="O21" s="41" t="n">
        <f aca="false">WORKDAY($C$7-1,1,Holidays!$B$5:$B$60)</f>
        <v>46419</v>
      </c>
      <c r="P21" s="41" t="n">
        <f aca="false">IF($K21="N",WORKDAY($O21,-1,Holidays!$B$5:$B$60),IF($L21=0,$O21,WORKDAY($O21,$L21-1,Holidays!$B$5:$B$60)))</f>
        <v>46419</v>
      </c>
      <c r="Q21" s="21" t="s">
        <v>192</v>
      </c>
      <c r="R21" s="42" t="str">
        <f aca="false">IF(AND($G21="HOLD",$K21="Y"),"■ HOLD: go/no-go. ","")</f>
        <v/>
      </c>
      <c r="S21" s="43" t="s">
        <v>193</v>
      </c>
    </row>
    <row r="22" customFormat="false" ht="27.75" hidden="false" customHeight="true" outlineLevel="0" collapsed="false">
      <c r="A22" s="40" t="s">
        <v>86</v>
      </c>
      <c r="B22" s="40" t="s">
        <v>162</v>
      </c>
      <c r="C22" s="17" t="s">
        <v>194</v>
      </c>
      <c r="D22" s="40" t="s">
        <v>195</v>
      </c>
      <c r="E22" s="40" t="s">
        <v>191</v>
      </c>
      <c r="F22" s="40"/>
      <c r="G22" s="40"/>
      <c r="H22" s="21" t="n">
        <v>1</v>
      </c>
      <c r="I22" s="21" t="n">
        <v>1</v>
      </c>
      <c r="J22" s="40" t="s">
        <v>139</v>
      </c>
      <c r="K22" s="40" t="str">
        <f aca="false">IF(AND(OR($E22="Both",$E22=$C$6),OR($F22="",IFERROR(INDEX($F$5:$F$13,MATCH($F22,$E$5:$E$13,0)),"Y")="Y")),"Y","N")</f>
        <v>Y</v>
      </c>
      <c r="L22" s="40" t="n">
        <f aca="false">IF($K22="N",0,IF(IF($C$6="Auction",$H22,$I22)=0,0,ROUNDUP(IF($C$6="Auction",$H22,$I22)*(1+IF($J22="Y",$C$10,0)),0)))</f>
        <v>1</v>
      </c>
      <c r="M22" s="40" t="s">
        <v>196</v>
      </c>
      <c r="N22" s="21" t="n">
        <v>0</v>
      </c>
      <c r="O22" s="41" t="n">
        <f aca="false">WORKDAY($O$21,$N22,Holidays!$B$5:$B$60)</f>
        <v>46419</v>
      </c>
      <c r="P22" s="41" t="n">
        <f aca="false">IF($K22="N",WORKDAY($O22,-1,Holidays!$B$5:$B$60),IF($L22=0,$O22,WORKDAY($O22,$L22-1,Holidays!$B$5:$B$60)))</f>
        <v>46419</v>
      </c>
      <c r="Q22" s="21" t="s">
        <v>192</v>
      </c>
      <c r="R22" s="42" t="str">
        <f aca="false">IF(AND($G22="HOLD",$K22="Y"),"■ HOLD: go/no-go. ","")</f>
        <v/>
      </c>
      <c r="S22" s="43" t="s">
        <v>197</v>
      </c>
    </row>
    <row r="23" customFormat="false" ht="27.75" hidden="false" customHeight="true" outlineLevel="0" collapsed="false">
      <c r="A23" s="40" t="s">
        <v>198</v>
      </c>
      <c r="B23" s="40" t="s">
        <v>162</v>
      </c>
      <c r="C23" s="17" t="s">
        <v>199</v>
      </c>
      <c r="D23" s="40" t="s">
        <v>190</v>
      </c>
      <c r="E23" s="40" t="s">
        <v>137</v>
      </c>
      <c r="F23" s="40"/>
      <c r="G23" s="40"/>
      <c r="H23" s="21" t="n">
        <v>1</v>
      </c>
      <c r="I23" s="21" t="n">
        <v>0</v>
      </c>
      <c r="J23" s="40" t="s">
        <v>139</v>
      </c>
      <c r="K23" s="40" t="str">
        <f aca="false">IF(AND(OR($E23="Both",$E23=$C$6),OR($F23="",IFERROR(INDEX($F$5:$F$13,MATCH($F23,$E$5:$E$13,0)),"Y")="Y")),"Y","N")</f>
        <v>N</v>
      </c>
      <c r="L23" s="40" t="n">
        <f aca="false">IF($K23="N",0,IF(IF($C$6="Auction",$H23,$I23)=0,0,ROUNDUP(IF($C$6="Auction",$H23,$I23)*(1+IF($J23="Y",$C$10,0)),0)))</f>
        <v>0</v>
      </c>
      <c r="M23" s="40" t="s">
        <v>196</v>
      </c>
      <c r="N23" s="21" t="n">
        <v>0</v>
      </c>
      <c r="O23" s="41" t="n">
        <f aca="false">WORKDAY($O$21,$N23,Holidays!$B$5:$B$60)</f>
        <v>46419</v>
      </c>
      <c r="P23" s="41" t="n">
        <f aca="false">IF($K23="N",WORKDAY($O23,-1,Holidays!$B$5:$B$60),IF($L23=0,$O23,WORKDAY($O23,$L23-1,Holidays!$B$5:$B$60)))</f>
        <v>46416</v>
      </c>
      <c r="Q23" s="21" t="s">
        <v>192</v>
      </c>
      <c r="R23" s="42" t="str">
        <f aca="false">IF(AND($G23="HOLD",$K23="Y"),"■ HOLD: go/no-go. ","")</f>
        <v/>
      </c>
      <c r="S23" s="43" t="s">
        <v>200</v>
      </c>
    </row>
    <row r="24" customFormat="false" ht="27.75" hidden="false" customHeight="true" outlineLevel="0" collapsed="false">
      <c r="A24" s="40" t="s">
        <v>201</v>
      </c>
      <c r="B24" s="40" t="s">
        <v>162</v>
      </c>
      <c r="C24" s="17" t="s">
        <v>202</v>
      </c>
      <c r="D24" s="40" t="s">
        <v>190</v>
      </c>
      <c r="E24" s="40" t="s">
        <v>191</v>
      </c>
      <c r="F24" s="40"/>
      <c r="G24" s="40"/>
      <c r="H24" s="21" t="n">
        <v>2</v>
      </c>
      <c r="I24" s="21" t="n">
        <v>2</v>
      </c>
      <c r="J24" s="40" t="s">
        <v>139</v>
      </c>
      <c r="K24" s="40" t="str">
        <f aca="false">IF(AND(OR($E24="Both",$E24=$C$6),OR($F24="",IFERROR(INDEX($F$5:$F$13,MATCH($F24,$E$5:$E$13,0)),"Y")="Y")),"Y","N")</f>
        <v>Y</v>
      </c>
      <c r="L24" s="40" t="n">
        <f aca="false">IF($K24="N",0,IF(IF($C$6="Auction",$H24,$I24)=0,0,ROUNDUP(IF($C$6="Auction",$H24,$I24)*(1+IF($J24="Y",$C$10,0)),0)))</f>
        <v>2</v>
      </c>
      <c r="M24" s="40" t="s">
        <v>196</v>
      </c>
      <c r="N24" s="21" t="n">
        <v>0</v>
      </c>
      <c r="O24" s="41" t="n">
        <f aca="false">WORKDAY($O$21,$N24,Holidays!$B$5:$B$60)</f>
        <v>46419</v>
      </c>
      <c r="P24" s="41" t="n">
        <f aca="false">IF($K24="N",WORKDAY($O24,-1,Holidays!$B$5:$B$60),IF($L24=0,$O24,WORKDAY($O24,$L24-1,Holidays!$B$5:$B$60)))</f>
        <v>46420</v>
      </c>
      <c r="Q24" s="21" t="s">
        <v>192</v>
      </c>
      <c r="R24" s="42" t="str">
        <f aca="false">IF(AND($G24="HOLD",$K24="Y"),"■ HOLD: go/no-go. ","")</f>
        <v/>
      </c>
      <c r="S24" s="43"/>
    </row>
    <row r="25" customFormat="false" ht="27.75" hidden="false" customHeight="true" outlineLevel="0" collapsed="false">
      <c r="A25" s="40" t="s">
        <v>83</v>
      </c>
      <c r="B25" s="40" t="s">
        <v>162</v>
      </c>
      <c r="C25" s="17" t="s">
        <v>203</v>
      </c>
      <c r="D25" s="40" t="s">
        <v>204</v>
      </c>
      <c r="E25" s="40" t="s">
        <v>191</v>
      </c>
      <c r="F25" s="40"/>
      <c r="G25" s="40"/>
      <c r="H25" s="21" t="n">
        <v>5</v>
      </c>
      <c r="I25" s="21" t="n">
        <v>5</v>
      </c>
      <c r="J25" s="40" t="s">
        <v>139</v>
      </c>
      <c r="K25" s="40" t="str">
        <f aca="false">IF(AND(OR($E25="Both",$E25=$C$6),OR($F25="",IFERROR(INDEX($F$5:$F$13,MATCH($F25,$E$5:$E$13,0)),"Y")="Y")),"Y","N")</f>
        <v>Y</v>
      </c>
      <c r="L25" s="40" t="n">
        <f aca="false">IF($K25="N",0,IF(IF($C$6="Auction",$H25,$I25)=0,0,ROUNDUP(IF($C$6="Auction",$H25,$I25)*(1+IF($J25="Y",$C$10,0)),0)))</f>
        <v>5</v>
      </c>
      <c r="M25" s="40" t="s">
        <v>205</v>
      </c>
      <c r="N25" s="21" t="n">
        <v>1</v>
      </c>
      <c r="O25" s="41" t="n">
        <f aca="false">WORKDAY($O$24,$N25,Holidays!$B$5:$B$60)</f>
        <v>46420</v>
      </c>
      <c r="P25" s="41" t="n">
        <f aca="false">IF($K25="N",WORKDAY($O25,-1,Holidays!$B$5:$B$60),IF($L25=0,$O25,WORKDAY($O25,$L25-1,Holidays!$B$5:$B$60)))</f>
        <v>46426</v>
      </c>
      <c r="Q25" s="21" t="s">
        <v>192</v>
      </c>
      <c r="R25" s="42" t="str">
        <f aca="false">IF(AND($G25="HOLD",$K25="Y"),"■ HOLD: go/no-go. ","")</f>
        <v/>
      </c>
      <c r="S25" s="43" t="s">
        <v>206</v>
      </c>
    </row>
    <row r="26" customFormat="false" ht="27.75" hidden="false" customHeight="true" outlineLevel="0" collapsed="false">
      <c r="A26" s="40" t="s">
        <v>207</v>
      </c>
      <c r="B26" s="40" t="s">
        <v>162</v>
      </c>
      <c r="C26" s="17" t="s">
        <v>208</v>
      </c>
      <c r="D26" s="40" t="s">
        <v>209</v>
      </c>
      <c r="E26" s="40" t="s">
        <v>191</v>
      </c>
      <c r="F26" s="40"/>
      <c r="G26" s="40"/>
      <c r="H26" s="21" t="n">
        <v>5</v>
      </c>
      <c r="I26" s="21" t="n">
        <v>5</v>
      </c>
      <c r="J26" s="40" t="s">
        <v>139</v>
      </c>
      <c r="K26" s="40" t="str">
        <f aca="false">IF(AND(OR($E26="Both",$E26=$C$6),OR($F26="",IFERROR(INDEX($F$5:$F$13,MATCH($F26,$E$5:$E$13,0)),"Y")="Y")),"Y","N")</f>
        <v>Y</v>
      </c>
      <c r="L26" s="40" t="n">
        <f aca="false">IF($K26="N",0,IF(IF($C$6="Auction",$H26,$I26)=0,0,ROUNDUP(IF($C$6="Auction",$H26,$I26)*(1+IF($J26="Y",$C$10,0)),0)))</f>
        <v>5</v>
      </c>
      <c r="M26" s="40" t="s">
        <v>210</v>
      </c>
      <c r="N26" s="21" t="n">
        <v>0</v>
      </c>
      <c r="O26" s="41" t="n">
        <f aca="false">WORKDAY($P$25,1+$N26,Holidays!$B$5:$B$60)</f>
        <v>46427</v>
      </c>
      <c r="P26" s="41" t="n">
        <f aca="false">IF($K26="N",WORKDAY($O26,-1,Holidays!$B$5:$B$60),IF($L26=0,$O26,WORKDAY($O26,$L26-1,Holidays!$B$5:$B$60)))</f>
        <v>46433</v>
      </c>
      <c r="Q26" s="21" t="s">
        <v>192</v>
      </c>
      <c r="R26" s="42" t="str">
        <f aca="false">IF(AND($G26="HOLD",$K26="Y"),"■ HOLD: go/no-go. ","")</f>
        <v/>
      </c>
      <c r="S26" s="43"/>
    </row>
    <row r="27" customFormat="false" ht="27.75" hidden="false" customHeight="true" outlineLevel="0" collapsed="false">
      <c r="A27" s="40" t="s">
        <v>62</v>
      </c>
      <c r="B27" s="40" t="s">
        <v>162</v>
      </c>
      <c r="C27" s="17" t="s">
        <v>211</v>
      </c>
      <c r="D27" s="40" t="s">
        <v>212</v>
      </c>
      <c r="E27" s="40" t="s">
        <v>213</v>
      </c>
      <c r="F27" s="40"/>
      <c r="G27" s="40"/>
      <c r="H27" s="21" t="n">
        <v>0</v>
      </c>
      <c r="I27" s="21" t="n">
        <v>25</v>
      </c>
      <c r="J27" s="40" t="s">
        <v>139</v>
      </c>
      <c r="K27" s="40" t="str">
        <f aca="false">IF(AND(OR($E27="Both",$E27=$C$6),OR($F27="",IFERROR(INDEX($F$5:$F$13,MATCH($F27,$E$5:$E$13,0)),"Y")="Y")),"Y","N")</f>
        <v>Y</v>
      </c>
      <c r="L27" s="40" t="n">
        <f aca="false">IF($K27="N",0,IF(IF($C$6="Auction",$H27,$I27)=0,0,ROUNDUP(IF($C$6="Auction",$H27,$I27)*(1+IF($J27="Y",$C$10,0)),0)))</f>
        <v>25</v>
      </c>
      <c r="M27" s="40" t="s">
        <v>214</v>
      </c>
      <c r="N27" s="21" t="n">
        <v>0</v>
      </c>
      <c r="O27" s="41" t="n">
        <f aca="false">WORKDAY($P$24,1+$N27,Holidays!$B$5:$B$60)</f>
        <v>46421</v>
      </c>
      <c r="P27" s="41" t="n">
        <f aca="false">IF($K27="N",WORKDAY($O27,-1,Holidays!$B$5:$B$60),IF($L27=0,$O27,WORKDAY($O27,$L27-1,Holidays!$B$5:$B$60)))</f>
        <v>46455</v>
      </c>
      <c r="Q27" s="21" t="s">
        <v>192</v>
      </c>
      <c r="R27" s="42" t="str">
        <f aca="false">IF(AND($G27="HOLD",$K27="Y"),"■ HOLD: go/no-go. ","")</f>
        <v/>
      </c>
      <c r="S27" s="43" t="s">
        <v>215</v>
      </c>
    </row>
    <row r="28" customFormat="false" ht="27.75" hidden="false" customHeight="true" outlineLevel="0" collapsed="false">
      <c r="A28" s="40" t="s">
        <v>216</v>
      </c>
      <c r="B28" s="40" t="s">
        <v>162</v>
      </c>
      <c r="C28" s="17" t="s">
        <v>217</v>
      </c>
      <c r="D28" s="40" t="s">
        <v>218</v>
      </c>
      <c r="E28" s="40" t="s">
        <v>213</v>
      </c>
      <c r="F28" s="40"/>
      <c r="G28" s="40"/>
      <c r="H28" s="21" t="n">
        <v>0</v>
      </c>
      <c r="I28" s="21" t="n">
        <v>10</v>
      </c>
      <c r="J28" s="40" t="s">
        <v>139</v>
      </c>
      <c r="K28" s="40" t="str">
        <f aca="false">IF(AND(OR($E28="Both",$E28=$C$6),OR($F28="",IFERROR(INDEX($F$5:$F$13,MATCH($F28,$E$5:$E$13,0)),"Y")="Y")),"Y","N")</f>
        <v>Y</v>
      </c>
      <c r="L28" s="40" t="n">
        <f aca="false">IF($K28="N",0,IF(IF($C$6="Auction",$H28,$I28)=0,0,ROUNDUP(IF($C$6="Auction",$H28,$I28)*(1+IF($J28="Y",$C$10,0)),0)))</f>
        <v>10</v>
      </c>
      <c r="M28" s="40" t="s">
        <v>205</v>
      </c>
      <c r="N28" s="21" t="n">
        <v>2</v>
      </c>
      <c r="O28" s="41" t="n">
        <f aca="false">WORKDAY($O$24,$N28,Holidays!$B$5:$B$60)</f>
        <v>46421</v>
      </c>
      <c r="P28" s="41" t="n">
        <f aca="false">IF($K28="N",WORKDAY($O28,-1,Holidays!$B$5:$B$60),IF($L28=0,$O28,WORKDAY($O28,$L28-1,Holidays!$B$5:$B$60)))</f>
        <v>46434</v>
      </c>
      <c r="Q28" s="21" t="s">
        <v>192</v>
      </c>
      <c r="R28" s="42" t="str">
        <f aca="false">IF(AND($G28="HOLD",$K28="Y"),"■ HOLD: go/no-go. ","")</f>
        <v/>
      </c>
      <c r="S28" s="43"/>
    </row>
    <row r="29" customFormat="false" ht="27.75" hidden="false" customHeight="true" outlineLevel="0" collapsed="false">
      <c r="A29" s="40" t="s">
        <v>94</v>
      </c>
      <c r="B29" s="40" t="s">
        <v>162</v>
      </c>
      <c r="C29" s="17" t="s">
        <v>219</v>
      </c>
      <c r="D29" s="40" t="s">
        <v>220</v>
      </c>
      <c r="E29" s="40" t="s">
        <v>213</v>
      </c>
      <c r="F29" s="40"/>
      <c r="G29" s="40" t="s">
        <v>221</v>
      </c>
      <c r="H29" s="21" t="n">
        <v>0</v>
      </c>
      <c r="I29" s="21" t="n">
        <v>3</v>
      </c>
      <c r="J29" s="40" t="s">
        <v>139</v>
      </c>
      <c r="K29" s="40" t="str">
        <f aca="false">IF(AND(OR($E29="Both",$E29=$C$6),OR($F29="",IFERROR(INDEX($F$5:$F$13,MATCH($F29,$E$5:$E$13,0)),"Y")="Y")),"Y","N")</f>
        <v>Y</v>
      </c>
      <c r="L29" s="40" t="n">
        <f aca="false">IF($K29="N",0,IF(IF($C$6="Auction",$H29,$I29)=0,0,ROUNDUP(IF($C$6="Auction",$H29,$I29)*(1+IF($J29="Y",$C$10,0)),0)))</f>
        <v>3</v>
      </c>
      <c r="M29" s="40" t="s">
        <v>222</v>
      </c>
      <c r="N29" s="21" t="n">
        <v>0</v>
      </c>
      <c r="O29" s="41" t="n">
        <f aca="false">MAX(WORKDAY($P$27,1+$N29,Holidays!$B$5:$B$60),WORKDAY($P$28,1+$N29,Holidays!$B$5:$B$60))</f>
        <v>46456</v>
      </c>
      <c r="P29" s="41" t="n">
        <f aca="false">IF($K29="N",WORKDAY($O29,-1,Holidays!$B$5:$B$60),IF($L29=0,$O29,WORKDAY($O29,$L29-1,Holidays!$B$5:$B$60)))</f>
        <v>46458</v>
      </c>
      <c r="Q29" s="21" t="s">
        <v>192</v>
      </c>
      <c r="R29" s="42" t="str">
        <f aca="false">IF(AND($G29="HOLD",$K29="Y"),"■ HOLD: go/no-go. ","")</f>
        <v>■ HOLD: go/no-go. </v>
      </c>
      <c r="S29" s="43" t="s">
        <v>223</v>
      </c>
    </row>
    <row r="30" customFormat="false" ht="27.75" hidden="false" customHeight="true" outlineLevel="0" collapsed="false">
      <c r="A30" s="40" t="s">
        <v>224</v>
      </c>
      <c r="B30" s="40" t="s">
        <v>162</v>
      </c>
      <c r="C30" s="17" t="s">
        <v>225</v>
      </c>
      <c r="D30" s="40" t="s">
        <v>212</v>
      </c>
      <c r="E30" s="40" t="s">
        <v>213</v>
      </c>
      <c r="F30" s="40"/>
      <c r="G30" s="40"/>
      <c r="H30" s="21" t="n">
        <v>0</v>
      </c>
      <c r="I30" s="21" t="n">
        <v>0</v>
      </c>
      <c r="J30" s="40" t="s">
        <v>139</v>
      </c>
      <c r="K30" s="40" t="str">
        <f aca="false">IF(AND(OR($E30="Both",$E30=$C$6),OR($F30="",IFERROR(INDEX($F$5:$F$13,MATCH($F30,$E$5:$E$13,0)),"Y")="Y")),"Y","N")</f>
        <v>Y</v>
      </c>
      <c r="L30" s="40" t="n">
        <f aca="false">IF($K30="N",0,IF(IF($C$6="Auction",$H30,$I30)=0,0,ROUNDUP(IF($C$6="Auction",$H30,$I30)*(1+IF($J30="Y",$C$10,0)),0)))</f>
        <v>0</v>
      </c>
      <c r="M30" s="40" t="s">
        <v>226</v>
      </c>
      <c r="N30" s="21" t="n">
        <v>0</v>
      </c>
      <c r="O30" s="41" t="n">
        <f aca="false">MAX(WORKDAY($P$29,1+$N30,Holidays!$B$5:$B$60),WORKDAY($P$26,1+$N30,Holidays!$B$5:$B$60))</f>
        <v>46461</v>
      </c>
      <c r="P30" s="41" t="n">
        <f aca="false">IF($K30="N",WORKDAY($O30,-1,Holidays!$B$5:$B$60),IF($L30=0,$O30,WORKDAY($O30,$L30-1,Holidays!$B$5:$B$60)))</f>
        <v>46461</v>
      </c>
      <c r="Q30" s="21" t="s">
        <v>192</v>
      </c>
      <c r="R30" s="42" t="str">
        <f aca="false">IF(AND($G30="HOLD",$K30="Y"),"■ HOLD: go/no-go. ","")</f>
        <v/>
      </c>
      <c r="S30" s="43" t="s">
        <v>227</v>
      </c>
    </row>
    <row r="31" customFormat="false" ht="27.75" hidden="false" customHeight="true" outlineLevel="0" collapsed="false">
      <c r="A31" s="40" t="s">
        <v>228</v>
      </c>
      <c r="B31" s="40" t="s">
        <v>162</v>
      </c>
      <c r="C31" s="17" t="s">
        <v>229</v>
      </c>
      <c r="D31" s="40" t="s">
        <v>230</v>
      </c>
      <c r="E31" s="40" t="s">
        <v>191</v>
      </c>
      <c r="F31" s="40"/>
      <c r="G31" s="40"/>
      <c r="H31" s="21" t="n">
        <v>5</v>
      </c>
      <c r="I31" s="21" t="n">
        <v>5</v>
      </c>
      <c r="J31" s="40" t="s">
        <v>139</v>
      </c>
      <c r="K31" s="40" t="str">
        <f aca="false">IF(AND(OR($E31="Both",$E31=$C$6),OR($F31="",IFERROR(INDEX($F$5:$F$13,MATCH($F31,$E$5:$E$13,0)),"Y")="Y")),"Y","N")</f>
        <v>Y</v>
      </c>
      <c r="L31" s="40" t="n">
        <f aca="false">IF($K31="N",0,IF(IF($C$6="Auction",$H31,$I31)=0,0,ROUNDUP(IF($C$6="Auction",$H31,$I31)*(1+IF($J31="Y",$C$10,0)),0)))</f>
        <v>5</v>
      </c>
      <c r="M31" s="40" t="s">
        <v>231</v>
      </c>
      <c r="N31" s="21" t="n">
        <v>0</v>
      </c>
      <c r="O31" s="41" t="n">
        <f aca="false">MAX(WORKDAY($P$26,1+$N31,Holidays!$B$5:$B$60),WORKDAY($P$30,1+$N31,Holidays!$B$5:$B$60))</f>
        <v>46462</v>
      </c>
      <c r="P31" s="41" t="n">
        <f aca="false">IF($K31="N",WORKDAY($O31,-1,Holidays!$B$5:$B$60),IF($L31=0,$O31,WORKDAY($O31,$L31-1,Holidays!$B$5:$B$60)))</f>
        <v>46468</v>
      </c>
      <c r="Q31" s="21" t="s">
        <v>192</v>
      </c>
      <c r="R31" s="42" t="str">
        <f aca="false">IF(AND($G31="HOLD",$K31="Y"),"■ HOLD: go/no-go. ","")</f>
        <v/>
      </c>
      <c r="S31" s="43"/>
    </row>
    <row r="32" customFormat="false" ht="27.75" hidden="false" customHeight="true" outlineLevel="0" collapsed="false">
      <c r="A32" s="40" t="s">
        <v>232</v>
      </c>
      <c r="B32" s="40" t="s">
        <v>162</v>
      </c>
      <c r="C32" s="17" t="s">
        <v>233</v>
      </c>
      <c r="D32" s="40" t="s">
        <v>212</v>
      </c>
      <c r="E32" s="40" t="s">
        <v>191</v>
      </c>
      <c r="F32" s="40"/>
      <c r="G32" s="40"/>
      <c r="H32" s="21" t="n">
        <v>0</v>
      </c>
      <c r="I32" s="21" t="n">
        <v>0</v>
      </c>
      <c r="J32" s="40" t="s">
        <v>139</v>
      </c>
      <c r="K32" s="40" t="str">
        <f aca="false">IF(AND(OR($E32="Both",$E32=$C$6),OR($F32="",IFERROR(INDEX($F$5:$F$13,MATCH($F32,$E$5:$E$13,0)),"Y")="Y")),"Y","N")</f>
        <v>Y</v>
      </c>
      <c r="L32" s="40" t="n">
        <f aca="false">IF($K32="N",0,IF(IF($C$6="Auction",$H32,$I32)=0,0,ROUNDUP(IF($C$6="Auction",$H32,$I32)*(1+IF($J32="Y",$C$10,0)),0)))</f>
        <v>0</v>
      </c>
      <c r="M32" s="40" t="s">
        <v>234</v>
      </c>
      <c r="N32" s="21" t="n">
        <v>0</v>
      </c>
      <c r="O32" s="41" t="n">
        <f aca="false">IF($C$6="Auction",WORKDAY($O$21+$C$8-1,1,Holidays!$B$5:$B$60),MAX(WORKDAY($P$30,$C$9,Holidays!$B$5:$B$60),WORKDAY($P$31,1,Holidays!$B$5:$B$60)))</f>
        <v>46477</v>
      </c>
      <c r="P32" s="41" t="n">
        <f aca="false">IF($K32="N",WORKDAY($O32,-1,Holidays!$B$5:$B$60),IF($L32=0,$O32,WORKDAY($O32,$L32-1,Holidays!$B$5:$B$60)))</f>
        <v>46477</v>
      </c>
      <c r="Q32" s="21" t="s">
        <v>192</v>
      </c>
      <c r="R32" s="42" t="str">
        <f aca="false">IF(AND($G32="HOLD",$K32="Y"),"■ HOLD: go/no-go. ","")&amp;IF(AND($C$6="Auction",$P$31&gt;$O32),"⚠ Finance not ready by auction completion: deposit at risk. ","")</f>
        <v/>
      </c>
      <c r="S32" s="43" t="s">
        <v>235</v>
      </c>
    </row>
    <row r="33" customFormat="false" ht="27.75" hidden="false" customHeight="true" outlineLevel="0" collapsed="false">
      <c r="A33" s="40" t="s">
        <v>70</v>
      </c>
      <c r="B33" s="40" t="s">
        <v>163</v>
      </c>
      <c r="C33" s="17" t="s">
        <v>236</v>
      </c>
      <c r="D33" s="40" t="s">
        <v>237</v>
      </c>
      <c r="E33" s="40" t="s">
        <v>191</v>
      </c>
      <c r="F33" s="40"/>
      <c r="G33" s="40"/>
      <c r="H33" s="21" t="n">
        <v>3</v>
      </c>
      <c r="I33" s="21" t="n">
        <v>3</v>
      </c>
      <c r="J33" s="40" t="s">
        <v>139</v>
      </c>
      <c r="K33" s="40" t="str">
        <f aca="false">IF(AND(OR($E33="Both",$E33=$C$6),OR($F33="",IFERROR(INDEX($F$5:$F$13,MATCH($F33,$E$5:$E$13,0)),"Y")="Y")),"Y","N")</f>
        <v>Y</v>
      </c>
      <c r="L33" s="40" t="n">
        <f aca="false">IF($K33="N",0,IF(IF($C$6="Auction",$H33,$I33)=0,0,ROUNDUP(IF($C$6="Auction",$H33,$I33)*(1+IF($J33="Y",$C$10,0)),0)))</f>
        <v>3</v>
      </c>
      <c r="M33" s="40" t="s">
        <v>238</v>
      </c>
      <c r="N33" s="21" t="n">
        <v>0</v>
      </c>
      <c r="O33" s="41" t="n">
        <f aca="false">MAX(WORKDAY($P$21,1+$N33,Holidays!$B$5:$B$60),WORKDAY($P$28,1+$N33,Holidays!$B$5:$B$60))</f>
        <v>46435</v>
      </c>
      <c r="P33" s="41" t="n">
        <f aca="false">IF($K33="N",WORKDAY($O33,-1,Holidays!$B$5:$B$60),IF($L33=0,$O33,WORKDAY($O33,$L33-1,Holidays!$B$5:$B$60)))</f>
        <v>46437</v>
      </c>
      <c r="Q33" s="21" t="s">
        <v>192</v>
      </c>
      <c r="R33" s="42" t="str">
        <f aca="false">IF(AND($G33="HOLD",$K33="Y"),"■ HOLD: go/no-go. ","")</f>
        <v/>
      </c>
      <c r="S33" s="43" t="s">
        <v>239</v>
      </c>
    </row>
    <row r="34" customFormat="false" ht="27.75" hidden="false" customHeight="true" outlineLevel="0" collapsed="false">
      <c r="A34" s="40" t="s">
        <v>240</v>
      </c>
      <c r="B34" s="40" t="s">
        <v>163</v>
      </c>
      <c r="C34" s="17" t="s">
        <v>241</v>
      </c>
      <c r="D34" s="40" t="s">
        <v>242</v>
      </c>
      <c r="E34" s="40" t="s">
        <v>191</v>
      </c>
      <c r="F34" s="40"/>
      <c r="G34" s="40"/>
      <c r="H34" s="21" t="n">
        <v>5</v>
      </c>
      <c r="I34" s="21" t="n">
        <v>5</v>
      </c>
      <c r="J34" s="40" t="s">
        <v>139</v>
      </c>
      <c r="K34" s="40" t="str">
        <f aca="false">IF(AND(OR($E34="Both",$E34=$C$6),OR($F34="",IFERROR(INDEX($F$5:$F$13,MATCH($F34,$E$5:$E$13,0)),"Y")="Y")),"Y","N")</f>
        <v>Y</v>
      </c>
      <c r="L34" s="40" t="n">
        <f aca="false">IF($K34="N",0,IF(IF($C$6="Auction",$H34,$I34)=0,0,ROUNDUP(IF($C$6="Auction",$H34,$I34)*(1+IF($J34="Y",$C$10,0)),0)))</f>
        <v>5</v>
      </c>
      <c r="M34" s="40" t="s">
        <v>243</v>
      </c>
      <c r="N34" s="21" t="n">
        <v>0</v>
      </c>
      <c r="O34" s="41" t="n">
        <f aca="false">WORKDAY($P$33,1+$N34,Holidays!$B$5:$B$60)</f>
        <v>46440</v>
      </c>
      <c r="P34" s="41" t="n">
        <f aca="false">IF($K34="N",WORKDAY($O34,-1,Holidays!$B$5:$B$60),IF($L34=0,$O34,WORKDAY($O34,$L34-1,Holidays!$B$5:$B$60)))</f>
        <v>46444</v>
      </c>
      <c r="Q34" s="21" t="s">
        <v>192</v>
      </c>
      <c r="R34" s="42" t="str">
        <f aca="false">IF(AND($G34="HOLD",$K34="Y"),"■ HOLD: go/no-go. ","")</f>
        <v/>
      </c>
      <c r="S34" s="43"/>
    </row>
    <row r="35" customFormat="false" ht="27.75" hidden="false" customHeight="true" outlineLevel="0" collapsed="false">
      <c r="A35" s="40" t="s">
        <v>97</v>
      </c>
      <c r="B35" s="40" t="s">
        <v>163</v>
      </c>
      <c r="C35" s="17" t="s">
        <v>244</v>
      </c>
      <c r="D35" s="40" t="s">
        <v>190</v>
      </c>
      <c r="E35" s="40" t="s">
        <v>191</v>
      </c>
      <c r="F35" s="40"/>
      <c r="G35" s="40" t="s">
        <v>221</v>
      </c>
      <c r="H35" s="21" t="n">
        <v>2</v>
      </c>
      <c r="I35" s="21" t="n">
        <v>2</v>
      </c>
      <c r="J35" s="40" t="s">
        <v>139</v>
      </c>
      <c r="K35" s="40" t="str">
        <f aca="false">IF(AND(OR($E35="Both",$E35=$C$6),OR($F35="",IFERROR(INDEX($F$5:$F$13,MATCH($F35,$E$5:$E$13,0)),"Y")="Y")),"Y","N")</f>
        <v>Y</v>
      </c>
      <c r="L35" s="40" t="n">
        <f aca="false">IF($K35="N",0,IF(IF($C$6="Auction",$H35,$I35)=0,0,ROUNDUP(IF($C$6="Auction",$H35,$I35)*(1+IF($J35="Y",$C$10,0)),0)))</f>
        <v>2</v>
      </c>
      <c r="M35" s="40" t="s">
        <v>245</v>
      </c>
      <c r="N35" s="21" t="n">
        <v>0</v>
      </c>
      <c r="O35" s="41" t="n">
        <f aca="false">WORKDAY($P$34,1+$N35,Holidays!$B$5:$B$60)</f>
        <v>46447</v>
      </c>
      <c r="P35" s="41" t="n">
        <f aca="false">IF($K35="N",WORKDAY($O35,-1,Holidays!$B$5:$B$60),IF($L35=0,$O35,WORKDAY($O35,$L35-1,Holidays!$B$5:$B$60)))</f>
        <v>46448</v>
      </c>
      <c r="Q35" s="21" t="s">
        <v>192</v>
      </c>
      <c r="R35" s="42" t="str">
        <f aca="false">IF(AND($G35="HOLD",$K35="Y"),"■ HOLD: go/no-go. ","")</f>
        <v>■ HOLD: go/no-go. </v>
      </c>
      <c r="S35" s="43" t="s">
        <v>246</v>
      </c>
    </row>
    <row r="36" customFormat="false" ht="27.75" hidden="false" customHeight="true" outlineLevel="0" collapsed="false">
      <c r="A36" s="40" t="s">
        <v>247</v>
      </c>
      <c r="B36" s="40" t="s">
        <v>163</v>
      </c>
      <c r="C36" s="17" t="s">
        <v>248</v>
      </c>
      <c r="D36" s="40" t="s">
        <v>249</v>
      </c>
      <c r="E36" s="40" t="s">
        <v>191</v>
      </c>
      <c r="F36" s="40"/>
      <c r="G36" s="40"/>
      <c r="H36" s="21" t="n">
        <v>1</v>
      </c>
      <c r="I36" s="21" t="n">
        <v>1</v>
      </c>
      <c r="J36" s="40" t="s">
        <v>139</v>
      </c>
      <c r="K36" s="40" t="str">
        <f aca="false">IF(AND(OR($E36="Both",$E36=$C$6),OR($F36="",IFERROR(INDEX($F$5:$F$13,MATCH($F36,$E$5:$E$13,0)),"Y")="Y")),"Y","N")</f>
        <v>Y</v>
      </c>
      <c r="L36" s="40" t="n">
        <f aca="false">IF($K36="N",0,IF(IF($C$6="Auction",$H36,$I36)=0,0,ROUNDUP(IF($C$6="Auction",$H36,$I36)*(1+IF($J36="Y",$C$10,0)),0)))</f>
        <v>1</v>
      </c>
      <c r="M36" s="40" t="s">
        <v>250</v>
      </c>
      <c r="N36" s="21" t="n">
        <v>0</v>
      </c>
      <c r="O36" s="41" t="n">
        <f aca="false">WORKDAY($P$35,1+$N36,Holidays!$B$5:$B$60)</f>
        <v>46449</v>
      </c>
      <c r="P36" s="41" t="n">
        <f aca="false">IF($K36="N",WORKDAY($O36,-1,Holidays!$B$5:$B$60),IF($L36=0,$O36,WORKDAY($O36,$L36-1,Holidays!$B$5:$B$60)))</f>
        <v>46449</v>
      </c>
      <c r="Q36" s="21" t="s">
        <v>192</v>
      </c>
      <c r="R36" s="42" t="str">
        <f aca="false">IF(AND($G36="HOLD",$K36="Y"),"■ HOLD: go/no-go. ","")</f>
        <v/>
      </c>
      <c r="S36" s="43"/>
    </row>
    <row r="37" customFormat="false" ht="27.75" hidden="false" customHeight="true" outlineLevel="0" collapsed="false">
      <c r="A37" s="40" t="s">
        <v>251</v>
      </c>
      <c r="B37" s="40" t="s">
        <v>163</v>
      </c>
      <c r="C37" s="17" t="s">
        <v>252</v>
      </c>
      <c r="D37" s="40" t="s">
        <v>253</v>
      </c>
      <c r="E37" s="40" t="s">
        <v>191</v>
      </c>
      <c r="F37" s="40"/>
      <c r="G37" s="40"/>
      <c r="H37" s="21" t="n">
        <v>15</v>
      </c>
      <c r="I37" s="21" t="n">
        <v>15</v>
      </c>
      <c r="J37" s="40" t="s">
        <v>139</v>
      </c>
      <c r="K37" s="40" t="str">
        <f aca="false">IF(AND(OR($E37="Both",$E37=$C$6),OR($F37="",IFERROR(INDEX($F$5:$F$13,MATCH($F37,$E$5:$E$13,0)),"Y")="Y")),"Y","N")</f>
        <v>Y</v>
      </c>
      <c r="L37" s="40" t="n">
        <f aca="false">IF($K37="N",0,IF(IF($C$6="Auction",$H37,$I37)=0,0,ROUNDUP(IF($C$6="Auction",$H37,$I37)*(1+IF($J37="Y",$C$10,0)),0)))</f>
        <v>15</v>
      </c>
      <c r="M37" s="40" t="s">
        <v>254</v>
      </c>
      <c r="N37" s="21" t="n">
        <v>0</v>
      </c>
      <c r="O37" s="41" t="n">
        <f aca="false">WORKDAY($P$36,1+$N37,Holidays!$B$5:$B$60)</f>
        <v>46450</v>
      </c>
      <c r="P37" s="41" t="n">
        <f aca="false">IF($K37="N",WORKDAY($O37,-1,Holidays!$B$5:$B$60),IF($L37=0,$O37,WORKDAY($O37,$L37-1,Holidays!$B$5:$B$60)))</f>
        <v>46470</v>
      </c>
      <c r="Q37" s="21" t="s">
        <v>192</v>
      </c>
      <c r="R37" s="42" t="str">
        <f aca="false">IF(AND($G37="HOLD",$K37="Y"),"■ HOLD: go/no-go. ","")</f>
        <v/>
      </c>
      <c r="S37" s="43" t="s">
        <v>255</v>
      </c>
    </row>
    <row r="38" customFormat="false" ht="27.75" hidden="false" customHeight="true" outlineLevel="0" collapsed="false">
      <c r="A38" s="40" t="s">
        <v>99</v>
      </c>
      <c r="B38" s="40" t="s">
        <v>163</v>
      </c>
      <c r="C38" s="17" t="s">
        <v>256</v>
      </c>
      <c r="D38" s="40" t="s">
        <v>257</v>
      </c>
      <c r="E38" s="40" t="s">
        <v>191</v>
      </c>
      <c r="F38" s="40" t="s">
        <v>134</v>
      </c>
      <c r="G38" s="40"/>
      <c r="H38" s="21" t="n">
        <v>5</v>
      </c>
      <c r="I38" s="21" t="n">
        <v>5</v>
      </c>
      <c r="J38" s="40" t="s">
        <v>139</v>
      </c>
      <c r="K38" s="40" t="str">
        <f aca="false">IF(AND(OR($E38="Both",$E38=$C$6),OR($F38="",IFERROR(INDEX($F$5:$F$13,MATCH($F38,$E$5:$E$13,0)),"Y")="Y")),"Y","N")</f>
        <v>Y</v>
      </c>
      <c r="L38" s="40" t="n">
        <f aca="false">IF($K38="N",0,IF(IF($C$6="Auction",$H38,$I38)=0,0,ROUNDUP(IF($C$6="Auction",$H38,$I38)*(1+IF($J38="Y",$C$10,0)),0)))</f>
        <v>5</v>
      </c>
      <c r="M38" s="40" t="s">
        <v>258</v>
      </c>
      <c r="N38" s="21" t="n">
        <v>0</v>
      </c>
      <c r="O38" s="41" t="n">
        <f aca="false">WORKDAY($P$32,1+$N38,Holidays!$B$5:$B$60)</f>
        <v>46478</v>
      </c>
      <c r="P38" s="41" t="n">
        <f aca="false">IF($K38="N",WORKDAY($O38,-1,Holidays!$B$5:$B$60),IF($L38=0,$O38,WORKDAY($O38,$L38-1,Holidays!$B$5:$B$60)))</f>
        <v>46484</v>
      </c>
      <c r="Q38" s="21" t="s">
        <v>192</v>
      </c>
      <c r="R38" s="42" t="str">
        <f aca="false">IF(AND($G38="HOLD",$K38="Y"),"■ HOLD: go/no-go. ","")</f>
        <v/>
      </c>
      <c r="S38" s="43" t="s">
        <v>259</v>
      </c>
    </row>
    <row r="39" customFormat="false" ht="27.75" hidden="false" customHeight="true" outlineLevel="0" collapsed="false">
      <c r="A39" s="40" t="s">
        <v>260</v>
      </c>
      <c r="B39" s="40" t="s">
        <v>163</v>
      </c>
      <c r="C39" s="17" t="s">
        <v>261</v>
      </c>
      <c r="D39" s="40" t="s">
        <v>190</v>
      </c>
      <c r="E39" s="40" t="s">
        <v>191</v>
      </c>
      <c r="F39" s="40"/>
      <c r="G39" s="40"/>
      <c r="H39" s="21" t="n">
        <v>1</v>
      </c>
      <c r="I39" s="21" t="n">
        <v>1</v>
      </c>
      <c r="J39" s="40" t="s">
        <v>139</v>
      </c>
      <c r="K39" s="40" t="str">
        <f aca="false">IF(AND(OR($E39="Both",$E39=$C$6),OR($F39="",IFERROR(INDEX($F$5:$F$13,MATCH($F39,$E$5:$E$13,0)),"Y")="Y")),"Y","N")</f>
        <v>Y</v>
      </c>
      <c r="L39" s="40" t="n">
        <f aca="false">IF($K39="N",0,IF(IF($C$6="Auction",$H39,$I39)=0,0,ROUNDUP(IF($C$6="Auction",$H39,$I39)*(1+IF($J39="Y",$C$10,0)),0)))</f>
        <v>1</v>
      </c>
      <c r="M39" s="40" t="s">
        <v>258</v>
      </c>
      <c r="N39" s="21" t="n">
        <v>0</v>
      </c>
      <c r="O39" s="41" t="n">
        <f aca="false">WORKDAY($P$32,1+$N39,Holidays!$B$5:$B$60)</f>
        <v>46478</v>
      </c>
      <c r="P39" s="41" t="n">
        <f aca="false">IF($K39="N",WORKDAY($O39,-1,Holidays!$B$5:$B$60),IF($L39=0,$O39,WORKDAY($O39,$L39-1,Holidays!$B$5:$B$60)))</f>
        <v>46478</v>
      </c>
      <c r="Q39" s="21" t="s">
        <v>192</v>
      </c>
      <c r="R39" s="42" t="str">
        <f aca="false">IF(AND($G39="HOLD",$K39="Y"),"■ HOLD: go/no-go. ","")</f>
        <v/>
      </c>
      <c r="S39" s="43"/>
    </row>
    <row r="40" customFormat="false" ht="27.75" hidden="false" customHeight="true" outlineLevel="0" collapsed="false">
      <c r="A40" s="40" t="s">
        <v>262</v>
      </c>
      <c r="B40" s="40" t="s">
        <v>164</v>
      </c>
      <c r="C40" s="17" t="s">
        <v>263</v>
      </c>
      <c r="D40" s="40" t="s">
        <v>237</v>
      </c>
      <c r="E40" s="40" t="s">
        <v>191</v>
      </c>
      <c r="F40" s="40"/>
      <c r="G40" s="40"/>
      <c r="H40" s="21" t="n">
        <v>4</v>
      </c>
      <c r="I40" s="21" t="n">
        <v>4</v>
      </c>
      <c r="J40" s="40" t="s">
        <v>135</v>
      </c>
      <c r="K40" s="40" t="str">
        <f aca="false">IF(AND(OR($E40="Both",$E40=$C$6),OR($F40="",IFERROR(INDEX($F$5:$F$13,MATCH($F40,$E$5:$E$13,0)),"Y")="Y")),"Y","N")</f>
        <v>Y</v>
      </c>
      <c r="L40" s="40" t="n">
        <f aca="false">IF($K40="N",0,IF(IF($C$6="Auction",$H40,$I40)=0,0,ROUNDUP(IF($C$6="Auction",$H40,$I40)*(1+IF($J40="Y",$C$10,0)),0)))</f>
        <v>5</v>
      </c>
      <c r="M40" s="40" t="s">
        <v>264</v>
      </c>
      <c r="N40" s="21" t="n">
        <v>0</v>
      </c>
      <c r="O40" s="41" t="n">
        <f aca="false">MAX(WORKDAY($P$39,1+$N40,Holidays!$B$5:$B$60),WORKDAY($P$38,1+$N40,Holidays!$B$5:$B$60),WORKDAY($P$35,1+$N40,Holidays!$B$5:$B$60))</f>
        <v>46485</v>
      </c>
      <c r="P40" s="41" t="n">
        <f aca="false">IF($K40="N",WORKDAY($O40,-1,Holidays!$B$5:$B$60),IF($L40=0,$O40,WORKDAY($O40,$L40-1,Holidays!$B$5:$B$60)))</f>
        <v>46491</v>
      </c>
      <c r="Q40" s="21" t="s">
        <v>192</v>
      </c>
      <c r="R40" s="42" t="str">
        <f aca="false">IF(AND($G40="HOLD",$K40="Y"),"■ HOLD: go/no-go. ","")</f>
        <v/>
      </c>
      <c r="S40" s="43"/>
    </row>
    <row r="41" customFormat="false" ht="27.75" hidden="false" customHeight="true" outlineLevel="0" collapsed="false">
      <c r="A41" s="40" t="s">
        <v>103</v>
      </c>
      <c r="B41" s="40" t="s">
        <v>164</v>
      </c>
      <c r="C41" s="17" t="s">
        <v>265</v>
      </c>
      <c r="D41" s="40" t="s">
        <v>266</v>
      </c>
      <c r="E41" s="40" t="s">
        <v>191</v>
      </c>
      <c r="F41" s="40"/>
      <c r="G41" s="40" t="s">
        <v>221</v>
      </c>
      <c r="H41" s="21" t="n">
        <v>1</v>
      </c>
      <c r="I41" s="21" t="n">
        <v>1</v>
      </c>
      <c r="J41" s="40" t="s">
        <v>139</v>
      </c>
      <c r="K41" s="40" t="str">
        <f aca="false">IF(AND(OR($E41="Both",$E41=$C$6),OR($F41="",IFERROR(INDEX($F$5:$F$13,MATCH($F41,$E$5:$E$13,0)),"Y")="Y")),"Y","N")</f>
        <v>Y</v>
      </c>
      <c r="L41" s="40" t="n">
        <f aca="false">IF($K41="N",0,IF(IF($C$6="Auction",$H41,$I41)=0,0,ROUNDUP(IF($C$6="Auction",$H41,$I41)*(1+IF($J41="Y",$C$10,0)),0)))</f>
        <v>1</v>
      </c>
      <c r="M41" s="40" t="s">
        <v>267</v>
      </c>
      <c r="N41" s="21" t="n">
        <v>0</v>
      </c>
      <c r="O41" s="41" t="n">
        <f aca="false">WORKDAY($P$40,1+$N41,Holidays!$B$5:$B$60)</f>
        <v>46492</v>
      </c>
      <c r="P41" s="41" t="n">
        <f aca="false">IF($K41="N",WORKDAY($O41,-1,Holidays!$B$5:$B$60),IF($L41=0,$O41,WORKDAY($O41,$L41-1,Holidays!$B$5:$B$60)))</f>
        <v>46492</v>
      </c>
      <c r="Q41" s="21" t="s">
        <v>192</v>
      </c>
      <c r="R41" s="42" t="str">
        <f aca="false">IF(AND($G41="HOLD",$K41="Y"),"■ HOLD: go/no-go. ","")</f>
        <v>■ HOLD: go/no-go. </v>
      </c>
      <c r="S41" s="43" t="s">
        <v>268</v>
      </c>
    </row>
    <row r="42" customFormat="false" ht="27.75" hidden="false" customHeight="true" outlineLevel="0" collapsed="false">
      <c r="A42" s="40" t="s">
        <v>269</v>
      </c>
      <c r="B42" s="40" t="s">
        <v>164</v>
      </c>
      <c r="C42" s="17" t="s">
        <v>270</v>
      </c>
      <c r="D42" s="40" t="s">
        <v>271</v>
      </c>
      <c r="E42" s="40" t="s">
        <v>191</v>
      </c>
      <c r="F42" s="40" t="s">
        <v>138</v>
      </c>
      <c r="G42" s="40"/>
      <c r="H42" s="21" t="n">
        <v>5</v>
      </c>
      <c r="I42" s="21" t="n">
        <v>5</v>
      </c>
      <c r="J42" s="40" t="s">
        <v>135</v>
      </c>
      <c r="K42" s="40" t="str">
        <f aca="false">IF(AND(OR($E42="Both",$E42=$C$6),OR($F42="",IFERROR(INDEX($F$5:$F$13,MATCH($F42,$E$5:$E$13,0)),"Y")="Y")),"Y","N")</f>
        <v>N</v>
      </c>
      <c r="L42" s="40" t="n">
        <f aca="false">IF($K42="N",0,IF(IF($C$6="Auction",$H42,$I42)=0,0,ROUNDUP(IF($C$6="Auction",$H42,$I42)*(1+IF($J42="Y",$C$10,0)),0)))</f>
        <v>0</v>
      </c>
      <c r="M42" s="40" t="s">
        <v>272</v>
      </c>
      <c r="N42" s="21" t="n">
        <v>0</v>
      </c>
      <c r="O42" s="41" t="n">
        <f aca="false">WORKDAY($P$41,1+$N42,Holidays!$B$5:$B$60)</f>
        <v>46493</v>
      </c>
      <c r="P42" s="41" t="n">
        <f aca="false">IF($K42="N",WORKDAY($O42,-1,Holidays!$B$5:$B$60),IF($L42=0,$O42,WORKDAY($O42,$L42-1,Holidays!$B$5:$B$60)))</f>
        <v>46492</v>
      </c>
      <c r="Q42" s="21" t="s">
        <v>192</v>
      </c>
      <c r="R42" s="42" t="str">
        <f aca="false">IF(AND($G42="HOLD",$K42="Y"),"■ HOLD: go/no-go. ","")</f>
        <v/>
      </c>
      <c r="S42" s="43"/>
    </row>
    <row r="43" customFormat="false" ht="27.75" hidden="false" customHeight="true" outlineLevel="0" collapsed="false">
      <c r="A43" s="40" t="s">
        <v>273</v>
      </c>
      <c r="B43" s="40" t="s">
        <v>164</v>
      </c>
      <c r="C43" s="17" t="s">
        <v>274</v>
      </c>
      <c r="D43" s="40" t="s">
        <v>275</v>
      </c>
      <c r="E43" s="40" t="s">
        <v>191</v>
      </c>
      <c r="F43" s="40" t="s">
        <v>142</v>
      </c>
      <c r="G43" s="40"/>
      <c r="H43" s="21" t="n">
        <v>3</v>
      </c>
      <c r="I43" s="21" t="n">
        <v>3</v>
      </c>
      <c r="J43" s="40" t="s">
        <v>135</v>
      </c>
      <c r="K43" s="40" t="str">
        <f aca="false">IF(AND(OR($E43="Both",$E43=$C$6),OR($F43="",IFERROR(INDEX($F$5:$F$13,MATCH($F43,$E$5:$E$13,0)),"Y")="Y")),"Y","N")</f>
        <v>Y</v>
      </c>
      <c r="L43" s="40" t="n">
        <f aca="false">IF($K43="N",0,IF(IF($C$6="Auction",$H43,$I43)=0,0,ROUNDUP(IF($C$6="Auction",$H43,$I43)*(1+IF($J43="Y",$C$10,0)),0)))</f>
        <v>4</v>
      </c>
      <c r="M43" s="40" t="s">
        <v>272</v>
      </c>
      <c r="N43" s="21" t="n">
        <v>0</v>
      </c>
      <c r="O43" s="41" t="n">
        <f aca="false">WORKDAY($P$41,1+$N43,Holidays!$B$5:$B$60)</f>
        <v>46493</v>
      </c>
      <c r="P43" s="41" t="n">
        <f aca="false">IF($K43="N",WORKDAY($O43,-1,Holidays!$B$5:$B$60),IF($L43=0,$O43,WORKDAY($O43,$L43-1,Holidays!$B$5:$B$60)))</f>
        <v>46498</v>
      </c>
      <c r="Q43" s="21" t="s">
        <v>192</v>
      </c>
      <c r="R43" s="42" t="str">
        <f aca="false">IF(AND($G43="HOLD",$K43="Y"),"■ HOLD: go/no-go. ","")</f>
        <v/>
      </c>
      <c r="S43" s="43" t="s">
        <v>276</v>
      </c>
    </row>
    <row r="44" customFormat="false" ht="27.75" hidden="false" customHeight="true" outlineLevel="0" collapsed="false">
      <c r="A44" s="40" t="s">
        <v>277</v>
      </c>
      <c r="B44" s="40" t="s">
        <v>164</v>
      </c>
      <c r="C44" s="17" t="s">
        <v>278</v>
      </c>
      <c r="D44" s="40" t="s">
        <v>279</v>
      </c>
      <c r="E44" s="40" t="s">
        <v>191</v>
      </c>
      <c r="F44" s="40" t="s">
        <v>144</v>
      </c>
      <c r="G44" s="40"/>
      <c r="H44" s="21" t="n">
        <v>8</v>
      </c>
      <c r="I44" s="21" t="n">
        <v>8</v>
      </c>
      <c r="J44" s="40" t="s">
        <v>135</v>
      </c>
      <c r="K44" s="40" t="str">
        <f aca="false">IF(AND(OR($E44="Both",$E44=$C$6),OR($F44="",IFERROR(INDEX($F$5:$F$13,MATCH($F44,$E$5:$E$13,0)),"Y")="Y")),"Y","N")</f>
        <v>N</v>
      </c>
      <c r="L44" s="40" t="n">
        <f aca="false">IF($K44="N",0,IF(IF($C$6="Auction",$H44,$I44)=0,0,ROUNDUP(IF($C$6="Auction",$H44,$I44)*(1+IF($J44="Y",$C$10,0)),0)))</f>
        <v>0</v>
      </c>
      <c r="M44" s="40" t="s">
        <v>272</v>
      </c>
      <c r="N44" s="21" t="n">
        <v>0</v>
      </c>
      <c r="O44" s="41" t="n">
        <f aca="false">WORKDAY($P$41,1+$N44,Holidays!$B$5:$B$60)</f>
        <v>46493</v>
      </c>
      <c r="P44" s="41" t="n">
        <f aca="false">IF($K44="N",WORKDAY($O44,-1,Holidays!$B$5:$B$60),IF($L44=0,$O44,WORKDAY($O44,$L44-1,Holidays!$B$5:$B$60)))</f>
        <v>46492</v>
      </c>
      <c r="Q44" s="21" t="s">
        <v>192</v>
      </c>
      <c r="R44" s="42" t="str">
        <f aca="false">IF(AND($G44="HOLD",$K44="Y"),"■ HOLD: go/no-go. ","")&amp;IF(AND($K44="Y",OR(MONTH($O44)&gt;=11,MONTH($O44)&lt;=2)),"⚠ External work in Nov–Feb: weather risk. ","")</f>
        <v/>
      </c>
      <c r="S44" s="43"/>
    </row>
    <row r="45" customFormat="false" ht="27.75" hidden="false" customHeight="true" outlineLevel="0" collapsed="false">
      <c r="A45" s="40" t="s">
        <v>280</v>
      </c>
      <c r="B45" s="40" t="s">
        <v>164</v>
      </c>
      <c r="C45" s="17" t="s">
        <v>281</v>
      </c>
      <c r="D45" s="40" t="s">
        <v>282</v>
      </c>
      <c r="E45" s="40" t="s">
        <v>191</v>
      </c>
      <c r="F45" s="40" t="s">
        <v>146</v>
      </c>
      <c r="G45" s="40"/>
      <c r="H45" s="21" t="n">
        <v>3</v>
      </c>
      <c r="I45" s="21" t="n">
        <v>3</v>
      </c>
      <c r="J45" s="40" t="s">
        <v>135</v>
      </c>
      <c r="K45" s="40" t="str">
        <f aca="false">IF(AND(OR($E45="Both",$E45=$C$6),OR($F45="",IFERROR(INDEX($F$5:$F$13,MATCH($F45,$E$5:$E$13,0)),"Y")="Y")),"Y","N")</f>
        <v>Y</v>
      </c>
      <c r="L45" s="40" t="n">
        <f aca="false">IF($K45="N",0,IF(IF($C$6="Auction",$H45,$I45)=0,0,ROUNDUP(IF($C$6="Auction",$H45,$I45)*(1+IF($J45="Y",$C$10,0)),0)))</f>
        <v>4</v>
      </c>
      <c r="M45" s="40" t="s">
        <v>283</v>
      </c>
      <c r="N45" s="21" t="n">
        <v>0</v>
      </c>
      <c r="O45" s="41" t="n">
        <f aca="false">MAX(WORKDAY($P$41,1+$N45,Holidays!$B$5:$B$60),WORKDAY($P$37,1+$N45,Holidays!$B$5:$B$60))</f>
        <v>46493</v>
      </c>
      <c r="P45" s="41" t="n">
        <f aca="false">IF($K45="N",WORKDAY($O45,-1,Holidays!$B$5:$B$60),IF($L45=0,$O45,WORKDAY($O45,$L45-1,Holidays!$B$5:$B$60)))</f>
        <v>46498</v>
      </c>
      <c r="Q45" s="21" t="s">
        <v>192</v>
      </c>
      <c r="R45" s="42" t="str">
        <f aca="false">IF(AND($G45="HOLD",$K45="Y"),"■ HOLD: go/no-go. ","")&amp;IF(AND($K45="Y",OR(MONTH($O45)&gt;=11,MONTH($O45)&lt;=2)),"⚠ External work in Nov–Feb: weather risk. ","")</f>
        <v/>
      </c>
      <c r="S45" s="43" t="s">
        <v>284</v>
      </c>
    </row>
    <row r="46" customFormat="false" ht="27.75" hidden="false" customHeight="true" outlineLevel="0" collapsed="false">
      <c r="A46" s="40" t="s">
        <v>285</v>
      </c>
      <c r="B46" s="40" t="s">
        <v>165</v>
      </c>
      <c r="C46" s="17" t="s">
        <v>286</v>
      </c>
      <c r="D46" s="40" t="s">
        <v>287</v>
      </c>
      <c r="E46" s="40" t="s">
        <v>191</v>
      </c>
      <c r="F46" s="40" t="s">
        <v>149</v>
      </c>
      <c r="G46" s="40"/>
      <c r="H46" s="21" t="n">
        <v>4</v>
      </c>
      <c r="I46" s="21" t="n">
        <v>4</v>
      </c>
      <c r="J46" s="40" t="s">
        <v>135</v>
      </c>
      <c r="K46" s="40" t="str">
        <f aca="false">IF(AND(OR($E46="Both",$E46=$C$6),OR($F46="",IFERROR(INDEX($F$5:$F$13,MATCH($F46,$E$5:$E$13,0)),"Y")="Y")),"Y","N")</f>
        <v>Y</v>
      </c>
      <c r="L46" s="40" t="n">
        <f aca="false">IF($K46="N",0,IF(IF($C$6="Auction",$H46,$I46)=0,0,ROUNDUP(IF($C$6="Auction",$H46,$I46)*(1+IF($J46="Y",$C$10,0)),0)))</f>
        <v>5</v>
      </c>
      <c r="M46" s="40" t="s">
        <v>288</v>
      </c>
      <c r="N46" s="21" t="n">
        <v>0</v>
      </c>
      <c r="O46" s="41" t="n">
        <f aca="false">MAX(WORKDAY($P$42,1+$N46,Holidays!$B$5:$B$60),WORKDAY($P$43,1+$N46,Holidays!$B$5:$B$60))</f>
        <v>46499</v>
      </c>
      <c r="P46" s="41" t="n">
        <f aca="false">IF($K46="N",WORKDAY($O46,-1,Holidays!$B$5:$B$60),IF($L46=0,$O46,WORKDAY($O46,$L46-1,Holidays!$B$5:$B$60)))</f>
        <v>46505</v>
      </c>
      <c r="Q46" s="21" t="s">
        <v>192</v>
      </c>
      <c r="R46" s="42" t="str">
        <f aca="false">IF(AND($G46="HOLD",$K46="Y"),"■ HOLD: go/no-go. ","")</f>
        <v/>
      </c>
      <c r="S46" s="43"/>
    </row>
    <row r="47" customFormat="false" ht="27.75" hidden="false" customHeight="true" outlineLevel="0" collapsed="false">
      <c r="A47" s="40" t="s">
        <v>289</v>
      </c>
      <c r="B47" s="40" t="s">
        <v>165</v>
      </c>
      <c r="C47" s="17" t="s">
        <v>290</v>
      </c>
      <c r="D47" s="40" t="s">
        <v>291</v>
      </c>
      <c r="E47" s="40" t="s">
        <v>191</v>
      </c>
      <c r="F47" s="40" t="s">
        <v>151</v>
      </c>
      <c r="G47" s="40"/>
      <c r="H47" s="21" t="n">
        <v>4</v>
      </c>
      <c r="I47" s="21" t="n">
        <v>4</v>
      </c>
      <c r="J47" s="40" t="s">
        <v>135</v>
      </c>
      <c r="K47" s="40" t="str">
        <f aca="false">IF(AND(OR($E47="Both",$E47=$C$6),OR($F47="",IFERROR(INDEX($F$5:$F$13,MATCH($F47,$E$5:$E$13,0)),"Y")="Y")),"Y","N")</f>
        <v>Y</v>
      </c>
      <c r="L47" s="40" t="n">
        <f aca="false">IF($K47="N",0,IF(IF($C$6="Auction",$H47,$I47)=0,0,ROUNDUP(IF($C$6="Auction",$H47,$I47)*(1+IF($J47="Y",$C$10,0)),0)))</f>
        <v>5</v>
      </c>
      <c r="M47" s="40" t="s">
        <v>288</v>
      </c>
      <c r="N47" s="21" t="n">
        <v>1</v>
      </c>
      <c r="O47" s="41" t="n">
        <f aca="false">MAX(WORKDAY($P$42,1+$N47,Holidays!$B$5:$B$60),WORKDAY($P$43,1+$N47,Holidays!$B$5:$B$60))</f>
        <v>46500</v>
      </c>
      <c r="P47" s="41" t="n">
        <f aca="false">IF($K47="N",WORKDAY($O47,-1,Holidays!$B$5:$B$60),IF($L47=0,$O47,WORKDAY($O47,$L47-1,Holidays!$B$5:$B$60)))</f>
        <v>46506</v>
      </c>
      <c r="Q47" s="21" t="s">
        <v>192</v>
      </c>
      <c r="R47" s="42" t="str">
        <f aca="false">IF(AND($G47="HOLD",$K47="Y"),"■ HOLD: go/no-go. ","")</f>
        <v/>
      </c>
      <c r="S47" s="43" t="s">
        <v>292</v>
      </c>
    </row>
    <row r="48" customFormat="false" ht="27.75" hidden="false" customHeight="true" outlineLevel="0" collapsed="false">
      <c r="A48" s="40" t="s">
        <v>293</v>
      </c>
      <c r="B48" s="40" t="s">
        <v>165</v>
      </c>
      <c r="C48" s="17" t="s">
        <v>294</v>
      </c>
      <c r="D48" s="40" t="s">
        <v>295</v>
      </c>
      <c r="E48" s="40" t="s">
        <v>191</v>
      </c>
      <c r="F48" s="40"/>
      <c r="G48" s="40"/>
      <c r="H48" s="21" t="n">
        <v>3</v>
      </c>
      <c r="I48" s="21" t="n">
        <v>3</v>
      </c>
      <c r="J48" s="40" t="s">
        <v>135</v>
      </c>
      <c r="K48" s="40" t="str">
        <f aca="false">IF(AND(OR($E48="Both",$E48=$C$6),OR($F48="",IFERROR(INDEX($F$5:$F$13,MATCH($F48,$E$5:$E$13,0)),"Y")="Y")),"Y","N")</f>
        <v>Y</v>
      </c>
      <c r="L48" s="40" t="n">
        <f aca="false">IF($K48="N",0,IF(IF($C$6="Auction",$H48,$I48)=0,0,ROUNDUP(IF($C$6="Auction",$H48,$I48)*(1+IF($J48="Y",$C$10,0)),0)))</f>
        <v>4</v>
      </c>
      <c r="M48" s="40" t="s">
        <v>288</v>
      </c>
      <c r="N48" s="21" t="n">
        <v>0</v>
      </c>
      <c r="O48" s="41" t="n">
        <f aca="false">MAX(WORKDAY($P$42,1+$N48,Holidays!$B$5:$B$60),WORKDAY($P$43,1+$N48,Holidays!$B$5:$B$60))</f>
        <v>46499</v>
      </c>
      <c r="P48" s="41" t="n">
        <f aca="false">IF($K48="N",WORKDAY($O48,-1,Holidays!$B$5:$B$60),IF($L48=0,$O48,WORKDAY($O48,$L48-1,Holidays!$B$5:$B$60)))</f>
        <v>46504</v>
      </c>
      <c r="Q48" s="21" t="s">
        <v>192</v>
      </c>
      <c r="R48" s="42" t="str">
        <f aca="false">IF(AND($G48="HOLD",$K48="Y"),"■ HOLD: go/no-go. ","")</f>
        <v/>
      </c>
      <c r="S48" s="43"/>
    </row>
    <row r="49" customFormat="false" ht="27.75" hidden="false" customHeight="true" outlineLevel="0" collapsed="false">
      <c r="A49" s="40" t="s">
        <v>106</v>
      </c>
      <c r="B49" s="40" t="s">
        <v>165</v>
      </c>
      <c r="C49" s="17" t="s">
        <v>296</v>
      </c>
      <c r="D49" s="40" t="s">
        <v>237</v>
      </c>
      <c r="E49" s="40" t="s">
        <v>191</v>
      </c>
      <c r="F49" s="40"/>
      <c r="G49" s="40" t="s">
        <v>221</v>
      </c>
      <c r="H49" s="21" t="n">
        <v>1</v>
      </c>
      <c r="I49" s="21" t="n">
        <v>1</v>
      </c>
      <c r="J49" s="40" t="s">
        <v>139</v>
      </c>
      <c r="K49" s="40" t="str">
        <f aca="false">IF(AND(OR($E49="Both",$E49=$C$6),OR($F49="",IFERROR(INDEX($F$5:$F$13,MATCH($F49,$E$5:$E$13,0)),"Y")="Y")),"Y","N")</f>
        <v>Y</v>
      </c>
      <c r="L49" s="40" t="n">
        <f aca="false">IF($K49="N",0,IF(IF($C$6="Auction",$H49,$I49)=0,0,ROUNDUP(IF($C$6="Auction",$H49,$I49)*(1+IF($J49="Y",$C$10,0)),0)))</f>
        <v>1</v>
      </c>
      <c r="M49" s="40" t="s">
        <v>297</v>
      </c>
      <c r="N49" s="21" t="n">
        <v>0</v>
      </c>
      <c r="O49" s="41" t="n">
        <f aca="false">MAX(WORKDAY($P$46,1+$N49,Holidays!$B$5:$B$60),WORKDAY($P$47,1+$N49,Holidays!$B$5:$B$60),WORKDAY($P$48,1+$N49,Holidays!$B$5:$B$60))</f>
        <v>46507</v>
      </c>
      <c r="P49" s="41" t="n">
        <f aca="false">IF($K49="N",WORKDAY($O49,-1,Holidays!$B$5:$B$60),IF($L49=0,$O49,WORKDAY($O49,$L49-1,Holidays!$B$5:$B$60)))</f>
        <v>46507</v>
      </c>
      <c r="Q49" s="21" t="s">
        <v>192</v>
      </c>
      <c r="R49" s="42" t="str">
        <f aca="false">IF(AND($G49="HOLD",$K49="Y"),"■ HOLD: go/no-go. ","")</f>
        <v>■ HOLD: go/no-go. </v>
      </c>
      <c r="S49" s="43" t="s">
        <v>298</v>
      </c>
    </row>
    <row r="50" customFormat="false" ht="27.75" hidden="false" customHeight="true" outlineLevel="0" collapsed="false">
      <c r="A50" s="40" t="s">
        <v>299</v>
      </c>
      <c r="B50" s="40" t="s">
        <v>166</v>
      </c>
      <c r="C50" s="17" t="s">
        <v>300</v>
      </c>
      <c r="D50" s="40" t="s">
        <v>301</v>
      </c>
      <c r="E50" s="40" t="s">
        <v>191</v>
      </c>
      <c r="F50" s="40"/>
      <c r="G50" s="40"/>
      <c r="H50" s="21" t="n">
        <v>6</v>
      </c>
      <c r="I50" s="21" t="n">
        <v>6</v>
      </c>
      <c r="J50" s="40" t="s">
        <v>135</v>
      </c>
      <c r="K50" s="40" t="str">
        <f aca="false">IF(AND(OR($E50="Both",$E50=$C$6),OR($F50="",IFERROR(INDEX($F$5:$F$13,MATCH($F50,$E$5:$E$13,0)),"Y")="Y")),"Y","N")</f>
        <v>Y</v>
      </c>
      <c r="L50" s="40" t="n">
        <f aca="false">IF($K50="N",0,IF(IF($C$6="Auction",$H50,$I50)=0,0,ROUNDUP(IF($C$6="Auction",$H50,$I50)*(1+IF($J50="Y",$C$10,0)),0)))</f>
        <v>7</v>
      </c>
      <c r="M50" s="40" t="s">
        <v>302</v>
      </c>
      <c r="N50" s="21" t="n">
        <v>0</v>
      </c>
      <c r="O50" s="41" t="n">
        <f aca="false">MAX(WORKDAY($P$49,1+$N50,Holidays!$B$5:$B$60),WORKDAY($P$44,1+$N50,Holidays!$B$5:$B$60),WORKDAY($P$45,1+$N50,Holidays!$B$5:$B$60))</f>
        <v>46511</v>
      </c>
      <c r="P50" s="41" t="n">
        <f aca="false">IF($K50="N",WORKDAY($O50,-1,Holidays!$B$5:$B$60),IF($L50=0,$O50,WORKDAY($O50,$L50-1,Holidays!$B$5:$B$60)))</f>
        <v>46519</v>
      </c>
      <c r="Q50" s="21" t="s">
        <v>192</v>
      </c>
      <c r="R50" s="42" t="str">
        <f aca="false">IF(AND($G50="HOLD",$K50="Y"),"■ HOLD: go/no-go. ","")</f>
        <v/>
      </c>
      <c r="S50" s="43" t="s">
        <v>303</v>
      </c>
    </row>
    <row r="51" customFormat="false" ht="27.75" hidden="false" customHeight="true" outlineLevel="0" collapsed="false">
      <c r="A51" s="40" t="s">
        <v>304</v>
      </c>
      <c r="B51" s="40" t="s">
        <v>166</v>
      </c>
      <c r="C51" s="17" t="s">
        <v>305</v>
      </c>
      <c r="D51" s="40" t="s">
        <v>65</v>
      </c>
      <c r="E51" s="40" t="s">
        <v>191</v>
      </c>
      <c r="F51" s="40"/>
      <c r="G51" s="40"/>
      <c r="H51" s="21" t="n">
        <v>5</v>
      </c>
      <c r="I51" s="21" t="n">
        <v>5</v>
      </c>
      <c r="J51" s="40" t="s">
        <v>139</v>
      </c>
      <c r="K51" s="40" t="str">
        <f aca="false">IF(AND(OR($E51="Both",$E51=$C$6),OR($F51="",IFERROR(INDEX($F$5:$F$13,MATCH($F51,$E$5:$E$13,0)),"Y")="Y")),"Y","N")</f>
        <v>Y</v>
      </c>
      <c r="L51" s="40" t="n">
        <f aca="false">IF($K51="N",0,IF(IF($C$6="Auction",$H51,$I51)=0,0,ROUNDUP(IF($C$6="Auction",$H51,$I51)*(1+IF($J51="Y",$C$10,0)),0)+IF(OR(MONTH($O51)&gt;=11,MONTH($O51)&lt;=2),$C$11,0)))</f>
        <v>5</v>
      </c>
      <c r="M51" s="40" t="s">
        <v>306</v>
      </c>
      <c r="N51" s="21" t="n">
        <v>0</v>
      </c>
      <c r="O51" s="41" t="n">
        <f aca="false">WORKDAY($P$50,1+$N51,Holidays!$B$5:$B$60)</f>
        <v>46520</v>
      </c>
      <c r="P51" s="41" t="n">
        <f aca="false">IF($K51="N",WORKDAY($O51,-1,Holidays!$B$5:$B$60),IF($L51=0,$O51,WORKDAY($O51,$L51-1,Holidays!$B$5:$B$60)))</f>
        <v>46526</v>
      </c>
      <c r="Q51" s="21" t="s">
        <v>192</v>
      </c>
      <c r="R51" s="42" t="str">
        <f aca="false">IF(AND($G51="HOLD",$K51="Y"),"■ HOLD: go/no-go. ","")&amp;IF(OR(MONTH($O51)&gt;=11,MONTH($O51)&lt;=2),"Winter drying allowance added. ","")</f>
        <v/>
      </c>
      <c r="S51" s="43" t="s">
        <v>307</v>
      </c>
    </row>
    <row r="52" customFormat="false" ht="27.75" hidden="false" customHeight="true" outlineLevel="0" collapsed="false">
      <c r="A52" s="40" t="s">
        <v>308</v>
      </c>
      <c r="B52" s="40" t="s">
        <v>166</v>
      </c>
      <c r="C52" s="17" t="s">
        <v>309</v>
      </c>
      <c r="D52" s="40" t="s">
        <v>310</v>
      </c>
      <c r="E52" s="40" t="s">
        <v>191</v>
      </c>
      <c r="F52" s="40"/>
      <c r="G52" s="40"/>
      <c r="H52" s="21" t="n">
        <v>2</v>
      </c>
      <c r="I52" s="21" t="n">
        <v>2</v>
      </c>
      <c r="J52" s="40" t="s">
        <v>135</v>
      </c>
      <c r="K52" s="40" t="str">
        <f aca="false">IF(AND(OR($E52="Both",$E52=$C$6),OR($F52="",IFERROR(INDEX($F$5:$F$13,MATCH($F52,$E$5:$E$13,0)),"Y")="Y")),"Y","N")</f>
        <v>Y</v>
      </c>
      <c r="L52" s="40" t="n">
        <f aca="false">IF($K52="N",0,IF(IF($C$6="Auction",$H52,$I52)=0,0,ROUNDUP(IF($C$6="Auction",$H52,$I52)*(1+IF($J52="Y",$C$10,0)),0)))</f>
        <v>3</v>
      </c>
      <c r="M52" s="40" t="s">
        <v>311</v>
      </c>
      <c r="N52" s="21" t="n">
        <v>0</v>
      </c>
      <c r="O52" s="41" t="n">
        <f aca="false">WORKDAY($P$51,1+$N52,Holidays!$B$5:$B$60)</f>
        <v>46527</v>
      </c>
      <c r="P52" s="41" t="n">
        <f aca="false">IF($K52="N",WORKDAY($O52,-1,Holidays!$B$5:$B$60),IF($L52=0,$O52,WORKDAY($O52,$L52-1,Holidays!$B$5:$B$60)))</f>
        <v>46531</v>
      </c>
      <c r="Q52" s="21" t="s">
        <v>192</v>
      </c>
      <c r="R52" s="42" t="str">
        <f aca="false">IF(AND($G52="HOLD",$K52="Y"),"■ HOLD: go/no-go. ","")</f>
        <v/>
      </c>
      <c r="S52" s="43"/>
    </row>
    <row r="53" customFormat="false" ht="27.75" hidden="false" customHeight="true" outlineLevel="0" collapsed="false">
      <c r="A53" s="40" t="s">
        <v>312</v>
      </c>
      <c r="B53" s="40" t="s">
        <v>167</v>
      </c>
      <c r="C53" s="17" t="s">
        <v>313</v>
      </c>
      <c r="D53" s="40" t="s">
        <v>314</v>
      </c>
      <c r="E53" s="40" t="s">
        <v>191</v>
      </c>
      <c r="F53" s="40" t="s">
        <v>154</v>
      </c>
      <c r="G53" s="40"/>
      <c r="H53" s="21" t="n">
        <v>4</v>
      </c>
      <c r="I53" s="21" t="n">
        <v>4</v>
      </c>
      <c r="J53" s="40" t="s">
        <v>135</v>
      </c>
      <c r="K53" s="40" t="str">
        <f aca="false">IF(AND(OR($E53="Both",$E53=$C$6),OR($F53="",IFERROR(INDEX($F$5:$F$13,MATCH($F53,$E$5:$E$13,0)),"Y")="Y")),"Y","N")</f>
        <v>Y</v>
      </c>
      <c r="L53" s="40" t="n">
        <f aca="false">IF($K53="N",0,IF(IF($C$6="Auction",$H53,$I53)=0,0,ROUNDUP(IF($C$6="Auction",$H53,$I53)*(1+IF($J53="Y",$C$10,0)),0)))</f>
        <v>5</v>
      </c>
      <c r="M53" s="40" t="s">
        <v>315</v>
      </c>
      <c r="N53" s="21" t="n">
        <v>0</v>
      </c>
      <c r="O53" s="41" t="n">
        <f aca="false">MAX(WORKDAY($P$52,1+$N53,Holidays!$B$5:$B$60),WORKDAY($P$37,1+$N53,Holidays!$B$5:$B$60))</f>
        <v>46532</v>
      </c>
      <c r="P53" s="41" t="n">
        <f aca="false">IF($K53="N",WORKDAY($O53,-1,Holidays!$B$5:$B$60),IF($L53=0,$O53,WORKDAY($O53,$L53-1,Holidays!$B$5:$B$60)))</f>
        <v>46539</v>
      </c>
      <c r="Q53" s="21" t="s">
        <v>192</v>
      </c>
      <c r="R53" s="42" t="str">
        <f aca="false">IF(AND($G53="HOLD",$K53="Y"),"■ HOLD: go/no-go. ","")</f>
        <v/>
      </c>
      <c r="S53" s="43"/>
    </row>
    <row r="54" customFormat="false" ht="27.75" hidden="false" customHeight="true" outlineLevel="0" collapsed="false">
      <c r="A54" s="40" t="s">
        <v>316</v>
      </c>
      <c r="B54" s="40" t="s">
        <v>167</v>
      </c>
      <c r="C54" s="17" t="s">
        <v>317</v>
      </c>
      <c r="D54" s="40" t="s">
        <v>318</v>
      </c>
      <c r="E54" s="40" t="s">
        <v>191</v>
      </c>
      <c r="F54" s="40" t="s">
        <v>157</v>
      </c>
      <c r="G54" s="40"/>
      <c r="H54" s="21" t="n">
        <v>5</v>
      </c>
      <c r="I54" s="21" t="n">
        <v>5</v>
      </c>
      <c r="J54" s="40" t="s">
        <v>135</v>
      </c>
      <c r="K54" s="40" t="str">
        <f aca="false">IF(AND(OR($E54="Both",$E54=$C$6),OR($F54="",IFERROR(INDEX($F$5:$F$13,MATCH($F54,$E$5:$E$13,0)),"Y")="Y")),"Y","N")</f>
        <v>Y</v>
      </c>
      <c r="L54" s="40" t="n">
        <f aca="false">IF($K54="N",0,IF(IF($C$6="Auction",$H54,$I54)=0,0,ROUNDUP(IF($C$6="Auction",$H54,$I54)*(1+IF($J54="Y",$C$10,0)),0)))</f>
        <v>6</v>
      </c>
      <c r="M54" s="40" t="s">
        <v>319</v>
      </c>
      <c r="N54" s="21" t="n">
        <v>0</v>
      </c>
      <c r="O54" s="41" t="n">
        <f aca="false">WORKDAY($P$52,1+$N54,Holidays!$B$5:$B$60)</f>
        <v>46532</v>
      </c>
      <c r="P54" s="41" t="n">
        <f aca="false">IF($K54="N",WORKDAY($O54,-1,Holidays!$B$5:$B$60),IF($L54=0,$O54,WORKDAY($O54,$L54-1,Holidays!$B$5:$B$60)))</f>
        <v>46540</v>
      </c>
      <c r="Q54" s="21" t="s">
        <v>192</v>
      </c>
      <c r="R54" s="42" t="str">
        <f aca="false">IF(AND($G54="HOLD",$K54="Y"),"■ HOLD: go/no-go. ","")</f>
        <v/>
      </c>
      <c r="S54" s="43"/>
    </row>
    <row r="55" customFormat="false" ht="27.75" hidden="false" customHeight="true" outlineLevel="0" collapsed="false">
      <c r="A55" s="40" t="s">
        <v>320</v>
      </c>
      <c r="B55" s="40" t="s">
        <v>167</v>
      </c>
      <c r="C55" s="17" t="s">
        <v>321</v>
      </c>
      <c r="D55" s="40" t="s">
        <v>287</v>
      </c>
      <c r="E55" s="40" t="s">
        <v>191</v>
      </c>
      <c r="F55" s="40"/>
      <c r="G55" s="40"/>
      <c r="H55" s="21" t="n">
        <v>2</v>
      </c>
      <c r="I55" s="21" t="n">
        <v>2</v>
      </c>
      <c r="J55" s="40" t="s">
        <v>135</v>
      </c>
      <c r="K55" s="40" t="str">
        <f aca="false">IF(AND(OR($E55="Both",$E55=$C$6),OR($F55="",IFERROR(INDEX($F$5:$F$13,MATCH($F55,$E$5:$E$13,0)),"Y")="Y")),"Y","N")</f>
        <v>Y</v>
      </c>
      <c r="L55" s="40" t="n">
        <f aca="false">IF($K55="N",0,IF(IF($C$6="Auction",$H55,$I55)=0,0,ROUNDUP(IF($C$6="Auction",$H55,$I55)*(1+IF($J55="Y",$C$10,0)),0)))</f>
        <v>3</v>
      </c>
      <c r="M55" s="40" t="s">
        <v>322</v>
      </c>
      <c r="N55" s="21" t="n">
        <v>0</v>
      </c>
      <c r="O55" s="41" t="n">
        <f aca="false">MAX(WORKDAY($P$53,1+$N55,Holidays!$B$5:$B$60),WORKDAY($P$54,1+$N55,Holidays!$B$5:$B$60))</f>
        <v>46541</v>
      </c>
      <c r="P55" s="41" t="n">
        <f aca="false">IF($K55="N",WORKDAY($O55,-1,Holidays!$B$5:$B$60),IF($L55=0,$O55,WORKDAY($O55,$L55-1,Holidays!$B$5:$B$60)))</f>
        <v>46545</v>
      </c>
      <c r="Q55" s="21" t="s">
        <v>192</v>
      </c>
      <c r="R55" s="42" t="str">
        <f aca="false">IF(AND($G55="HOLD",$K55="Y"),"■ HOLD: go/no-go. ","")</f>
        <v/>
      </c>
      <c r="S55" s="43"/>
    </row>
    <row r="56" customFormat="false" ht="27.75" hidden="false" customHeight="true" outlineLevel="0" collapsed="false">
      <c r="A56" s="40" t="s">
        <v>323</v>
      </c>
      <c r="B56" s="40" t="s">
        <v>167</v>
      </c>
      <c r="C56" s="17" t="s">
        <v>324</v>
      </c>
      <c r="D56" s="40" t="s">
        <v>325</v>
      </c>
      <c r="E56" s="40" t="s">
        <v>191</v>
      </c>
      <c r="F56" s="40"/>
      <c r="G56" s="40"/>
      <c r="H56" s="21" t="n">
        <v>2</v>
      </c>
      <c r="I56" s="21" t="n">
        <v>2</v>
      </c>
      <c r="J56" s="40" t="s">
        <v>135</v>
      </c>
      <c r="K56" s="40" t="str">
        <f aca="false">IF(AND(OR($E56="Both",$E56=$C$6),OR($F56="",IFERROR(INDEX($F$5:$F$13,MATCH($F56,$E$5:$E$13,0)),"Y")="Y")),"Y","N")</f>
        <v>Y</v>
      </c>
      <c r="L56" s="40" t="n">
        <f aca="false">IF($K56="N",0,IF(IF($C$6="Auction",$H56,$I56)=0,0,ROUNDUP(IF($C$6="Auction",$H56,$I56)*(1+IF($J56="Y",$C$10,0)),0)))</f>
        <v>3</v>
      </c>
      <c r="M56" s="40" t="s">
        <v>322</v>
      </c>
      <c r="N56" s="21" t="n">
        <v>0</v>
      </c>
      <c r="O56" s="41" t="n">
        <f aca="false">MAX(WORKDAY($P$53,1+$N56,Holidays!$B$5:$B$60),WORKDAY($P$54,1+$N56,Holidays!$B$5:$B$60))</f>
        <v>46541</v>
      </c>
      <c r="P56" s="41" t="n">
        <f aca="false">IF($K56="N",WORKDAY($O56,-1,Holidays!$B$5:$B$60),IF($L56=0,$O56,WORKDAY($O56,$L56-1,Holidays!$B$5:$B$60)))</f>
        <v>46545</v>
      </c>
      <c r="Q56" s="21" t="s">
        <v>192</v>
      </c>
      <c r="R56" s="42" t="str">
        <f aca="false">IF(AND($G56="HOLD",$K56="Y"),"■ HOLD: go/no-go. ","")</f>
        <v/>
      </c>
      <c r="S56" s="43"/>
    </row>
    <row r="57" customFormat="false" ht="27.75" hidden="false" customHeight="true" outlineLevel="0" collapsed="false">
      <c r="A57" s="40" t="s">
        <v>326</v>
      </c>
      <c r="B57" s="40" t="s">
        <v>167</v>
      </c>
      <c r="C57" s="17" t="s">
        <v>327</v>
      </c>
      <c r="D57" s="40" t="s">
        <v>295</v>
      </c>
      <c r="E57" s="40" t="s">
        <v>191</v>
      </c>
      <c r="F57" s="40"/>
      <c r="G57" s="40"/>
      <c r="H57" s="21" t="n">
        <v>3</v>
      </c>
      <c r="I57" s="21" t="n">
        <v>3</v>
      </c>
      <c r="J57" s="40" t="s">
        <v>135</v>
      </c>
      <c r="K57" s="40" t="str">
        <f aca="false">IF(AND(OR($E57="Both",$E57=$C$6),OR($F57="",IFERROR(INDEX($F$5:$F$13,MATCH($F57,$E$5:$E$13,0)),"Y")="Y")),"Y","N")</f>
        <v>Y</v>
      </c>
      <c r="L57" s="40" t="n">
        <f aca="false">IF($K57="N",0,IF(IF($C$6="Auction",$H57,$I57)=0,0,ROUNDUP(IF($C$6="Auction",$H57,$I57)*(1+IF($J57="Y",$C$10,0)),0)))</f>
        <v>4</v>
      </c>
      <c r="M57" s="40" t="s">
        <v>319</v>
      </c>
      <c r="N57" s="21" t="n">
        <v>0</v>
      </c>
      <c r="O57" s="41" t="n">
        <f aca="false">WORKDAY($P$52,1+$N57,Holidays!$B$5:$B$60)</f>
        <v>46532</v>
      </c>
      <c r="P57" s="41" t="n">
        <f aca="false">IF($K57="N",WORKDAY($O57,-1,Holidays!$B$5:$B$60),IF($L57=0,$O57,WORKDAY($O57,$L57-1,Holidays!$B$5:$B$60)))</f>
        <v>46535</v>
      </c>
      <c r="Q57" s="21" t="s">
        <v>192</v>
      </c>
      <c r="R57" s="42" t="str">
        <f aca="false">IF(AND($G57="HOLD",$K57="Y"),"■ HOLD: go/no-go. ","")</f>
        <v/>
      </c>
      <c r="S57" s="43"/>
    </row>
    <row r="58" customFormat="false" ht="27.75" hidden="false" customHeight="true" outlineLevel="0" collapsed="false">
      <c r="A58" s="40" t="s">
        <v>328</v>
      </c>
      <c r="B58" s="40" t="s">
        <v>167</v>
      </c>
      <c r="C58" s="17" t="s">
        <v>329</v>
      </c>
      <c r="D58" s="40" t="s">
        <v>310</v>
      </c>
      <c r="E58" s="40" t="s">
        <v>191</v>
      </c>
      <c r="F58" s="40"/>
      <c r="G58" s="40"/>
      <c r="H58" s="21" t="n">
        <v>6</v>
      </c>
      <c r="I58" s="21" t="n">
        <v>6</v>
      </c>
      <c r="J58" s="40" t="s">
        <v>135</v>
      </c>
      <c r="K58" s="40" t="str">
        <f aca="false">IF(AND(OR($E58="Both",$E58=$C$6),OR($F58="",IFERROR(INDEX($F$5:$F$13,MATCH($F58,$E$5:$E$13,0)),"Y")="Y")),"Y","N")</f>
        <v>Y</v>
      </c>
      <c r="L58" s="40" t="n">
        <f aca="false">IF($K58="N",0,IF(IF($C$6="Auction",$H58,$I58)=0,0,ROUNDUP(IF($C$6="Auction",$H58,$I58)*(1+IF($J58="Y",$C$10,0)),0)))</f>
        <v>7</v>
      </c>
      <c r="M58" s="40" t="s">
        <v>330</v>
      </c>
      <c r="N58" s="21" t="n">
        <v>0</v>
      </c>
      <c r="O58" s="41" t="n">
        <f aca="false">MAX(WORKDAY($P$55,1+$N58,Holidays!$B$5:$B$60),WORKDAY($P$56,1+$N58,Holidays!$B$5:$B$60),WORKDAY($P$57,1+$N58,Holidays!$B$5:$B$60))</f>
        <v>46546</v>
      </c>
      <c r="P58" s="41" t="n">
        <f aca="false">IF($K58="N",WORKDAY($O58,-1,Holidays!$B$5:$B$60),IF($L58=0,$O58,WORKDAY($O58,$L58-1,Holidays!$B$5:$B$60)))</f>
        <v>46554</v>
      </c>
      <c r="Q58" s="21" t="s">
        <v>192</v>
      </c>
      <c r="R58" s="42" t="str">
        <f aca="false">IF(AND($G58="HOLD",$K58="Y"),"■ HOLD: go/no-go. ","")</f>
        <v/>
      </c>
      <c r="S58" s="43"/>
    </row>
    <row r="59" customFormat="false" ht="27.75" hidden="false" customHeight="true" outlineLevel="0" collapsed="false">
      <c r="A59" s="40" t="s">
        <v>331</v>
      </c>
      <c r="B59" s="40" t="s">
        <v>167</v>
      </c>
      <c r="C59" s="17" t="s">
        <v>332</v>
      </c>
      <c r="D59" s="40" t="s">
        <v>333</v>
      </c>
      <c r="E59" s="40" t="s">
        <v>191</v>
      </c>
      <c r="F59" s="40"/>
      <c r="G59" s="40"/>
      <c r="H59" s="21" t="n">
        <v>2</v>
      </c>
      <c r="I59" s="21" t="n">
        <v>2</v>
      </c>
      <c r="J59" s="40" t="s">
        <v>135</v>
      </c>
      <c r="K59" s="40" t="str">
        <f aca="false">IF(AND(OR($E59="Both",$E59=$C$6),OR($F59="",IFERROR(INDEX($F$5:$F$13,MATCH($F59,$E$5:$E$13,0)),"Y")="Y")),"Y","N")</f>
        <v>Y</v>
      </c>
      <c r="L59" s="40" t="n">
        <f aca="false">IF($K59="N",0,IF(IF($C$6="Auction",$H59,$I59)=0,0,ROUNDUP(IF($C$6="Auction",$H59,$I59)*(1+IF($J59="Y",$C$10,0)),0)))</f>
        <v>3</v>
      </c>
      <c r="M59" s="40" t="s">
        <v>334</v>
      </c>
      <c r="N59" s="21" t="n">
        <v>0</v>
      </c>
      <c r="O59" s="41" t="n">
        <f aca="false">WORKDAY($P$58,1+$N59,Holidays!$B$5:$B$60)</f>
        <v>46555</v>
      </c>
      <c r="P59" s="41" t="n">
        <f aca="false">IF($K59="N",WORKDAY($O59,-1,Holidays!$B$5:$B$60),IF($L59=0,$O59,WORKDAY($O59,$L59-1,Holidays!$B$5:$B$60)))</f>
        <v>46559</v>
      </c>
      <c r="Q59" s="21" t="s">
        <v>192</v>
      </c>
      <c r="R59" s="42" t="str">
        <f aca="false">IF(AND($G59="HOLD",$K59="Y"),"■ HOLD: go/no-go. ","")</f>
        <v/>
      </c>
      <c r="S59" s="43"/>
    </row>
    <row r="60" customFormat="false" ht="27.75" hidden="false" customHeight="true" outlineLevel="0" collapsed="false">
      <c r="A60" s="40" t="s">
        <v>335</v>
      </c>
      <c r="B60" s="40" t="s">
        <v>167</v>
      </c>
      <c r="C60" s="17" t="s">
        <v>336</v>
      </c>
      <c r="D60" s="40" t="s">
        <v>237</v>
      </c>
      <c r="E60" s="40" t="s">
        <v>191</v>
      </c>
      <c r="F60" s="40"/>
      <c r="G60" s="40"/>
      <c r="H60" s="21" t="n">
        <v>2</v>
      </c>
      <c r="I60" s="21" t="n">
        <v>2</v>
      </c>
      <c r="J60" s="40" t="s">
        <v>135</v>
      </c>
      <c r="K60" s="40" t="str">
        <f aca="false">IF(AND(OR($E60="Both",$E60=$C$6),OR($F60="",IFERROR(INDEX($F$5:$F$13,MATCH($F60,$E$5:$E$13,0)),"Y")="Y")),"Y","N")</f>
        <v>Y</v>
      </c>
      <c r="L60" s="40" t="n">
        <f aca="false">IF($K60="N",0,IF(IF($C$6="Auction",$H60,$I60)=0,0,ROUNDUP(IF($C$6="Auction",$H60,$I60)*(1+IF($J60="Y",$C$10,0)),0)))</f>
        <v>3</v>
      </c>
      <c r="M60" s="40" t="s">
        <v>334</v>
      </c>
      <c r="N60" s="21" t="n">
        <v>0</v>
      </c>
      <c r="O60" s="41" t="n">
        <f aca="false">WORKDAY($P$58,1+$N60,Holidays!$B$5:$B$60)</f>
        <v>46555</v>
      </c>
      <c r="P60" s="41" t="n">
        <f aca="false">IF($K60="N",WORKDAY($O60,-1,Holidays!$B$5:$B$60),IF($L60=0,$O60,WORKDAY($O60,$L60-1,Holidays!$B$5:$B$60)))</f>
        <v>46559</v>
      </c>
      <c r="Q60" s="21" t="s">
        <v>192</v>
      </c>
      <c r="R60" s="42" t="str">
        <f aca="false">IF(AND($G60="HOLD",$K60="Y"),"■ HOLD: go/no-go. ","")&amp;IF(AND($K60="Y",OR(MONTH($O60)&gt;=11,MONTH($O60)&lt;=2)),"⚠ External work in Nov–Feb: weather risk. ","")</f>
        <v/>
      </c>
      <c r="S60" s="43" t="s">
        <v>337</v>
      </c>
    </row>
    <row r="61" customFormat="false" ht="27.75" hidden="false" customHeight="true" outlineLevel="0" collapsed="false">
      <c r="A61" s="40" t="s">
        <v>110</v>
      </c>
      <c r="B61" s="40" t="s">
        <v>168</v>
      </c>
      <c r="C61" s="17" t="s">
        <v>338</v>
      </c>
      <c r="D61" s="40" t="s">
        <v>339</v>
      </c>
      <c r="E61" s="40" t="s">
        <v>191</v>
      </c>
      <c r="F61" s="40"/>
      <c r="G61" s="40"/>
      <c r="H61" s="21" t="n">
        <v>3</v>
      </c>
      <c r="I61" s="21" t="n">
        <v>3</v>
      </c>
      <c r="J61" s="40" t="s">
        <v>139</v>
      </c>
      <c r="K61" s="40" t="str">
        <f aca="false">IF(AND(OR($E61="Both",$E61=$C$6),OR($F61="",IFERROR(INDEX($F$5:$F$13,MATCH($F61,$E$5:$E$13,0)),"Y")="Y")),"Y","N")</f>
        <v>Y</v>
      </c>
      <c r="L61" s="40" t="n">
        <f aca="false">IF($K61="N",0,IF(IF($C$6="Auction",$H61,$I61)=0,0,ROUNDUP(IF($C$6="Auction",$H61,$I61)*(1+IF($J61="Y",$C$10,0)),0)))</f>
        <v>3</v>
      </c>
      <c r="M61" s="40" t="s">
        <v>340</v>
      </c>
      <c r="N61" s="21" t="n">
        <v>0</v>
      </c>
      <c r="O61" s="41" t="n">
        <f aca="false">MAX(WORKDAY($P$55,1+$N61,Holidays!$B$5:$B$60),WORKDAY($P$56,1+$N61,Holidays!$B$5:$B$60))</f>
        <v>46546</v>
      </c>
      <c r="P61" s="41" t="n">
        <f aca="false">IF($K61="N",WORKDAY($O61,-1,Holidays!$B$5:$B$60),IF($L61=0,$O61,WORKDAY($O61,$L61-1,Holidays!$B$5:$B$60)))</f>
        <v>46548</v>
      </c>
      <c r="Q61" s="21" t="s">
        <v>192</v>
      </c>
      <c r="R61" s="42" t="str">
        <f aca="false">IF(AND($G61="HOLD",$K61="Y"),"■ HOLD: go/no-go. ","")</f>
        <v/>
      </c>
      <c r="S61" s="43" t="s">
        <v>341</v>
      </c>
    </row>
    <row r="62" customFormat="false" ht="27.75" hidden="false" customHeight="true" outlineLevel="0" collapsed="false">
      <c r="A62" s="40" t="s">
        <v>342</v>
      </c>
      <c r="B62" s="40" t="s">
        <v>168</v>
      </c>
      <c r="C62" s="17" t="s">
        <v>343</v>
      </c>
      <c r="D62" s="40" t="s">
        <v>266</v>
      </c>
      <c r="E62" s="40" t="s">
        <v>191</v>
      </c>
      <c r="F62" s="40"/>
      <c r="G62" s="40"/>
      <c r="H62" s="21" t="n">
        <v>3</v>
      </c>
      <c r="I62" s="21" t="n">
        <v>3</v>
      </c>
      <c r="J62" s="40" t="s">
        <v>139</v>
      </c>
      <c r="K62" s="40" t="str">
        <f aca="false">IF(AND(OR($E62="Both",$E62=$C$6),OR($F62="",IFERROR(INDEX($F$5:$F$13,MATCH($F62,$E$5:$E$13,0)),"Y")="Y")),"Y","N")</f>
        <v>Y</v>
      </c>
      <c r="L62" s="40" t="n">
        <f aca="false">IF($K62="N",0,IF(IF($C$6="Auction",$H62,$I62)=0,0,ROUNDUP(IF($C$6="Auction",$H62,$I62)*(1+IF($J62="Y",$C$10,0)),0)))</f>
        <v>3</v>
      </c>
      <c r="M62" s="40" t="s">
        <v>344</v>
      </c>
      <c r="N62" s="21" t="n">
        <v>0</v>
      </c>
      <c r="O62" s="41" t="n">
        <f aca="false">MAX(WORKDAY($P$59,1+$N62,Holidays!$B$5:$B$60),WORKDAY($P$60,1+$N62,Holidays!$B$5:$B$60))</f>
        <v>46560</v>
      </c>
      <c r="P62" s="41" t="n">
        <f aca="false">IF($K62="N",WORKDAY($O62,-1,Holidays!$B$5:$B$60),IF($L62=0,$O62,WORKDAY($O62,$L62-1,Holidays!$B$5:$B$60)))</f>
        <v>46562</v>
      </c>
      <c r="Q62" s="21" t="s">
        <v>192</v>
      </c>
      <c r="R62" s="42" t="str">
        <f aca="false">IF(AND($G62="HOLD",$K62="Y"),"■ HOLD: go/no-go. ","")</f>
        <v/>
      </c>
      <c r="S62" s="43"/>
    </row>
    <row r="63" customFormat="false" ht="27.75" hidden="false" customHeight="true" outlineLevel="0" collapsed="false">
      <c r="A63" s="40" t="s">
        <v>345</v>
      </c>
      <c r="B63" s="40" t="s">
        <v>168</v>
      </c>
      <c r="C63" s="17" t="s">
        <v>346</v>
      </c>
      <c r="D63" s="40" t="s">
        <v>190</v>
      </c>
      <c r="E63" s="40" t="s">
        <v>191</v>
      </c>
      <c r="F63" s="40"/>
      <c r="G63" s="40" t="s">
        <v>221</v>
      </c>
      <c r="H63" s="21" t="n">
        <v>0</v>
      </c>
      <c r="I63" s="21" t="n">
        <v>0</v>
      </c>
      <c r="J63" s="40" t="s">
        <v>139</v>
      </c>
      <c r="K63" s="40" t="str">
        <f aca="false">IF(AND(OR($E63="Both",$E63=$C$6),OR($F63="",IFERROR(INDEX($F$5:$F$13,MATCH($F63,$E$5:$E$13,0)),"Y")="Y")),"Y","N")</f>
        <v>Y</v>
      </c>
      <c r="L63" s="40" t="n">
        <f aca="false">IF($K63="N",0,IF(IF($C$6="Auction",$H63,$I63)=0,0,ROUNDUP(IF($C$6="Auction",$H63,$I63)*(1+IF($J63="Y",$C$10,0)),0)))</f>
        <v>0</v>
      </c>
      <c r="M63" s="40" t="s">
        <v>347</v>
      </c>
      <c r="N63" s="21" t="n">
        <v>0</v>
      </c>
      <c r="O63" s="41" t="n">
        <f aca="false">WORKDAY($P$62,1+$N63,Holidays!$B$5:$B$60)</f>
        <v>46563</v>
      </c>
      <c r="P63" s="41" t="n">
        <f aca="false">IF($K63="N",WORKDAY($O63,-1,Holidays!$B$5:$B$60),IF($L63=0,$O63,WORKDAY($O63,$L63-1,Holidays!$B$5:$B$60)))</f>
        <v>46563</v>
      </c>
      <c r="Q63" s="21" t="s">
        <v>192</v>
      </c>
      <c r="R63" s="42" t="str">
        <f aca="false">IF(AND($G63="HOLD",$K63="Y"),"■ HOLD: go/no-go. ","")</f>
        <v>■ HOLD: go/no-go. </v>
      </c>
      <c r="S63" s="43" t="s">
        <v>348</v>
      </c>
    </row>
    <row r="64" customFormat="false" ht="27.75" hidden="false" customHeight="true" outlineLevel="0" collapsed="false">
      <c r="A64" s="40" t="s">
        <v>113</v>
      </c>
      <c r="B64" s="40" t="s">
        <v>168</v>
      </c>
      <c r="C64" s="17" t="s">
        <v>111</v>
      </c>
      <c r="D64" s="40" t="s">
        <v>349</v>
      </c>
      <c r="E64" s="40" t="s">
        <v>191</v>
      </c>
      <c r="F64" s="40"/>
      <c r="G64" s="40"/>
      <c r="H64" s="21" t="n">
        <v>2</v>
      </c>
      <c r="I64" s="21" t="n">
        <v>2</v>
      </c>
      <c r="J64" s="40" t="s">
        <v>139</v>
      </c>
      <c r="K64" s="40" t="str">
        <f aca="false">IF(AND(OR($E64="Both",$E64=$C$6),OR($F64="",IFERROR(INDEX($F$5:$F$13,MATCH($F64,$E$5:$E$13,0)),"Y")="Y")),"Y","N")</f>
        <v>Y</v>
      </c>
      <c r="L64" s="40" t="n">
        <f aca="false">IF($K64="N",0,IF(IF($C$6="Auction",$H64,$I64)=0,0,ROUNDUP(IF($C$6="Auction",$H64,$I64)*(1+IF($J64="Y",$C$10,0)),0)))</f>
        <v>2</v>
      </c>
      <c r="M64" s="40" t="s">
        <v>347</v>
      </c>
      <c r="N64" s="21" t="n">
        <v>0</v>
      </c>
      <c r="O64" s="41" t="n">
        <f aca="false">WORKDAY($P$62,1+$N64,Holidays!$B$5:$B$60)</f>
        <v>46563</v>
      </c>
      <c r="P64" s="41" t="n">
        <f aca="false">IF($K64="N",WORKDAY($O64,-1,Holidays!$B$5:$B$60),IF($L64=0,$O64,WORKDAY($O64,$L64-1,Holidays!$B$5:$B$60)))</f>
        <v>46566</v>
      </c>
      <c r="Q64" s="21" t="s">
        <v>192</v>
      </c>
      <c r="R64" s="42" t="str">
        <f aca="false">IF(AND($G64="HOLD",$K64="Y"),"■ HOLD: go/no-go. ","")</f>
        <v/>
      </c>
      <c r="S64" s="43" t="s">
        <v>112</v>
      </c>
    </row>
    <row r="65" customFormat="false" ht="27.75" hidden="false" customHeight="true" outlineLevel="0" collapsed="false">
      <c r="A65" s="40" t="s">
        <v>350</v>
      </c>
      <c r="B65" s="40" t="s">
        <v>168</v>
      </c>
      <c r="C65" s="17" t="s">
        <v>351</v>
      </c>
      <c r="D65" s="40" t="s">
        <v>190</v>
      </c>
      <c r="E65" s="40" t="s">
        <v>191</v>
      </c>
      <c r="F65" s="40"/>
      <c r="G65" s="40"/>
      <c r="H65" s="21" t="n">
        <v>3</v>
      </c>
      <c r="I65" s="21" t="n">
        <v>3</v>
      </c>
      <c r="J65" s="40" t="s">
        <v>139</v>
      </c>
      <c r="K65" s="40" t="str">
        <f aca="false">IF(AND(OR($E65="Both",$E65=$C$6),OR($F65="",IFERROR(INDEX($F$5:$F$13,MATCH($F65,$E$5:$E$13,0)),"Y")="Y")),"Y","N")</f>
        <v>Y</v>
      </c>
      <c r="L65" s="40" t="n">
        <f aca="false">IF($K65="N",0,IF(IF($C$6="Auction",$H65,$I65)=0,0,ROUNDUP(IF($C$6="Auction",$H65,$I65)*(1+IF($J65="Y",$C$10,0)),0)))</f>
        <v>3</v>
      </c>
      <c r="M65" s="40" t="s">
        <v>347</v>
      </c>
      <c r="N65" s="21" t="n">
        <v>0</v>
      </c>
      <c r="O65" s="41" t="n">
        <f aca="false">WORKDAY($P$62,1+$N65,Holidays!$B$5:$B$60)</f>
        <v>46563</v>
      </c>
      <c r="P65" s="41" t="n">
        <f aca="false">IF($K65="N",WORKDAY($O65,-1,Holidays!$B$5:$B$60),IF($L65=0,$O65,WORKDAY($O65,$L65-1,Holidays!$B$5:$B$60)))</f>
        <v>46567</v>
      </c>
      <c r="Q65" s="21" t="s">
        <v>192</v>
      </c>
      <c r="R65" s="42" t="str">
        <f aca="false">IF(AND($G65="HOLD",$K65="Y"),"■ HOLD: go/no-go. ","")</f>
        <v/>
      </c>
      <c r="S65" s="43"/>
    </row>
    <row r="66" customFormat="false" ht="27.75" hidden="false" customHeight="true" outlineLevel="0" collapsed="false">
      <c r="A66" s="40" t="s">
        <v>116</v>
      </c>
      <c r="B66" s="40" t="s">
        <v>169</v>
      </c>
      <c r="C66" s="17" t="s">
        <v>352</v>
      </c>
      <c r="D66" s="40" t="s">
        <v>190</v>
      </c>
      <c r="E66" s="40" t="s">
        <v>191</v>
      </c>
      <c r="F66" s="40"/>
      <c r="G66" s="40"/>
      <c r="H66" s="21" t="n">
        <v>3</v>
      </c>
      <c r="I66" s="21" t="n">
        <v>3</v>
      </c>
      <c r="J66" s="40" t="s">
        <v>139</v>
      </c>
      <c r="K66" s="40" t="str">
        <f aca="false">IF(AND(OR($E66="Both",$E66=$C$6),OR($F66="",IFERROR(INDEX($F$5:$F$13,MATCH($F66,$E$5:$E$13,0)),"Y")="Y")),"Y","N")</f>
        <v>Y</v>
      </c>
      <c r="L66" s="40" t="n">
        <f aca="false">IF($K66="N",0,IF(IF($C$6="Auction",$H66,$I66)=0,0,ROUNDUP(IF($C$6="Auction",$H66,$I66)*(1+IF($J66="Y",$C$10,0)),0)))</f>
        <v>3</v>
      </c>
      <c r="M66" s="40" t="s">
        <v>353</v>
      </c>
      <c r="N66" s="21" t="n">
        <v>0</v>
      </c>
      <c r="O66" s="41" t="n">
        <f aca="false">WORKDAY($O$62,$N66,Holidays!$B$5:$B$60)</f>
        <v>46560</v>
      </c>
      <c r="P66" s="41" t="n">
        <f aca="false">IF($K66="N",WORKDAY($O66,-1,Holidays!$B$5:$B$60),IF($L66=0,$O66,WORKDAY($O66,$L66-1,Holidays!$B$5:$B$60)))</f>
        <v>46562</v>
      </c>
      <c r="Q66" s="21" t="s">
        <v>192</v>
      </c>
      <c r="R66" s="42" t="str">
        <f aca="false">IF(AND($G66="HOLD",$K66="Y"),"■ HOLD: go/no-go. ","")</f>
        <v/>
      </c>
      <c r="S66" s="43" t="s">
        <v>354</v>
      </c>
    </row>
    <row r="67" customFormat="false" ht="27.75" hidden="false" customHeight="true" outlineLevel="0" collapsed="false">
      <c r="A67" s="40" t="s">
        <v>355</v>
      </c>
      <c r="B67" s="40" t="s">
        <v>169</v>
      </c>
      <c r="C67" s="17" t="s">
        <v>356</v>
      </c>
      <c r="D67" s="40" t="s">
        <v>357</v>
      </c>
      <c r="E67" s="40" t="s">
        <v>191</v>
      </c>
      <c r="F67" s="40"/>
      <c r="G67" s="40"/>
      <c r="H67" s="21" t="n">
        <v>0</v>
      </c>
      <c r="I67" s="21" t="n">
        <v>0</v>
      </c>
      <c r="J67" s="40" t="s">
        <v>139</v>
      </c>
      <c r="K67" s="40" t="str">
        <f aca="false">IF(AND(OR($E67="Both",$E67=$C$6),OR($F67="",IFERROR(INDEX($F$5:$F$13,MATCH($F67,$E$5:$E$13,0)),"Y")="Y")),"Y","N")</f>
        <v>Y</v>
      </c>
      <c r="L67" s="40" t="n">
        <f aca="false">IF($K67="N",0,IF(IF($C$6="Auction",$H67,$I67)=0,0,ROUNDUP(IF($C$6="Auction",$H67,$I67)*(1+IF($J67="Y",$C$10,0)),0)))</f>
        <v>0</v>
      </c>
      <c r="M67" s="40" t="s">
        <v>358</v>
      </c>
      <c r="N67" s="21" t="n">
        <v>0</v>
      </c>
      <c r="O67" s="41" t="n">
        <f aca="false">MAX(WORKDAY($P$66,1+$N67,Holidays!$B$5:$B$60),WORKDAY($P$64,1+$N67,Holidays!$B$5:$B$60),WORKDAY($P$65,1+$N67,Holidays!$B$5:$B$60))</f>
        <v>46568</v>
      </c>
      <c r="P67" s="41" t="n">
        <f aca="false">IF($K67="N",WORKDAY($O67,-1,Holidays!$B$5:$B$60),IF($L67=0,$O67,WORKDAY($O67,$L67-1,Holidays!$B$5:$B$60)))</f>
        <v>46568</v>
      </c>
      <c r="Q67" s="21" t="s">
        <v>192</v>
      </c>
      <c r="R67" s="42" t="str">
        <f aca="false">IF(AND($G67="HOLD",$K67="Y"),"■ HOLD: go/no-go. ","")&amp;IF(OR(MONTH($O67)=8,MONTH($O67)=11,MONTH($O67)=12),"⚠ Listing in a slow month (Aug/Nov/Dec). ","")</f>
        <v/>
      </c>
      <c r="S67" s="43"/>
    </row>
    <row r="68" customFormat="false" ht="27.75" hidden="false" customHeight="true" outlineLevel="0" collapsed="false">
      <c r="A68" s="40" t="s">
        <v>359</v>
      </c>
      <c r="B68" s="40" t="s">
        <v>169</v>
      </c>
      <c r="C68" s="17" t="s">
        <v>360</v>
      </c>
      <c r="D68" s="40" t="s">
        <v>357</v>
      </c>
      <c r="E68" s="40" t="s">
        <v>191</v>
      </c>
      <c r="F68" s="40"/>
      <c r="G68" s="40"/>
      <c r="H68" s="44" t="n">
        <f aca="false">$C$12</f>
        <v>30</v>
      </c>
      <c r="I68" s="44" t="n">
        <f aca="false">$C$12</f>
        <v>30</v>
      </c>
      <c r="J68" s="40" t="s">
        <v>139</v>
      </c>
      <c r="K68" s="40" t="str">
        <f aca="false">IF(AND(OR($E68="Both",$E68=$C$6),OR($F68="",IFERROR(INDEX($F$5:$F$13,MATCH($F68,$E$5:$E$13,0)),"Y")="Y")),"Y","N")</f>
        <v>Y</v>
      </c>
      <c r="L68" s="40" t="n">
        <f aca="false">IF($K68="N",0,IF(IF($C$6="Auction",$H68,$I68)=0,0,ROUNDUP(IF($C$6="Auction",$H68,$I68)*(1+IF($J68="Y",$C$10,0)),0)))</f>
        <v>30</v>
      </c>
      <c r="M68" s="40" t="s">
        <v>361</v>
      </c>
      <c r="N68" s="21" t="n">
        <v>0</v>
      </c>
      <c r="O68" s="41" t="n">
        <f aca="false">WORKDAY($P$67,1+$N68,Holidays!$B$5:$B$60)</f>
        <v>46569</v>
      </c>
      <c r="P68" s="41" t="n">
        <f aca="false">IF($K68="N",WORKDAY($O68,-1,Holidays!$B$5:$B$60),IF($L68=0,$O68,WORKDAY($O68,$L68-1,Holidays!$B$5:$B$60)))</f>
        <v>46610</v>
      </c>
      <c r="Q68" s="21" t="s">
        <v>192</v>
      </c>
      <c r="R68" s="42" t="str">
        <f aca="false">IF(AND($G68="HOLD",$K68="Y"),"■ HOLD: go/no-go. ","")</f>
        <v/>
      </c>
      <c r="S68" s="43" t="s">
        <v>362</v>
      </c>
    </row>
    <row r="69" customFormat="false" ht="27.75" hidden="false" customHeight="true" outlineLevel="0" collapsed="false">
      <c r="A69" s="40" t="s">
        <v>363</v>
      </c>
      <c r="B69" s="40" t="s">
        <v>169</v>
      </c>
      <c r="C69" s="17" t="s">
        <v>364</v>
      </c>
      <c r="D69" s="40" t="s">
        <v>365</v>
      </c>
      <c r="E69" s="40" t="s">
        <v>191</v>
      </c>
      <c r="F69" s="40"/>
      <c r="G69" s="40"/>
      <c r="H69" s="21" t="n">
        <v>10</v>
      </c>
      <c r="I69" s="21" t="n">
        <v>10</v>
      </c>
      <c r="J69" s="40" t="s">
        <v>139</v>
      </c>
      <c r="K69" s="40" t="str">
        <f aca="false">IF(AND(OR($E69="Both",$E69=$C$6),OR($F69="",IFERROR(INDEX($F$5:$F$13,MATCH($F69,$E$5:$E$13,0)),"Y")="Y")),"Y","N")</f>
        <v>Y</v>
      </c>
      <c r="L69" s="40" t="n">
        <f aca="false">IF($K69="N",0,IF(IF($C$6="Auction",$H69,$I69)=0,0,ROUNDUP(IF($C$6="Auction",$H69,$I69)*(1+IF($J69="Y",$C$10,0)),0)))</f>
        <v>10</v>
      </c>
      <c r="M69" s="40" t="s">
        <v>366</v>
      </c>
      <c r="N69" s="21" t="n">
        <v>0</v>
      </c>
      <c r="O69" s="41" t="n">
        <f aca="false">WORKDAY($P$68,1+$N69,Holidays!$B$5:$B$60)</f>
        <v>46611</v>
      </c>
      <c r="P69" s="41" t="n">
        <f aca="false">IF($K69="N",WORKDAY($O69,-1,Holidays!$B$5:$B$60),IF($L69=0,$O69,WORKDAY($O69,$L69-1,Holidays!$B$5:$B$60)))</f>
        <v>46624</v>
      </c>
      <c r="Q69" s="21" t="s">
        <v>192</v>
      </c>
      <c r="R69" s="42" t="str">
        <f aca="false">IF(AND($G69="HOLD",$K69="Y"),"■ HOLD: go/no-go. ","")</f>
        <v/>
      </c>
      <c r="S69" s="43"/>
    </row>
    <row r="70" customFormat="false" ht="27.75" hidden="false" customHeight="true" outlineLevel="0" collapsed="false">
      <c r="A70" s="40" t="s">
        <v>120</v>
      </c>
      <c r="B70" s="40" t="s">
        <v>169</v>
      </c>
      <c r="C70" s="17" t="s">
        <v>367</v>
      </c>
      <c r="D70" s="40" t="s">
        <v>230</v>
      </c>
      <c r="E70" s="40" t="s">
        <v>191</v>
      </c>
      <c r="F70" s="40"/>
      <c r="G70" s="40"/>
      <c r="H70" s="21" t="n">
        <v>40</v>
      </c>
      <c r="I70" s="21" t="n">
        <v>40</v>
      </c>
      <c r="J70" s="40" t="s">
        <v>139</v>
      </c>
      <c r="K70" s="40" t="str">
        <f aca="false">IF(AND(OR($E70="Both",$E70=$C$6),OR($F70="",IFERROR(INDEX($F$5:$F$13,MATCH($F70,$E$5:$E$13,0)),"Y")="Y")),"Y","N")</f>
        <v>Y</v>
      </c>
      <c r="L70" s="40" t="n">
        <f aca="false">IF($K70="N",0,IF(IF($C$6="Auction",$H70,$I70)=0,0,ROUNDUP(IF($C$6="Auction",$H70,$I70)*(1+IF($J70="Y",$C$10,0)),0)))</f>
        <v>40</v>
      </c>
      <c r="M70" s="40" t="s">
        <v>366</v>
      </c>
      <c r="N70" s="21" t="n">
        <v>0</v>
      </c>
      <c r="O70" s="41" t="n">
        <f aca="false">WORKDAY($P$68,1+$N70,Holidays!$B$5:$B$60)</f>
        <v>46611</v>
      </c>
      <c r="P70" s="41" t="n">
        <f aca="false">IF($K70="N",WORKDAY($O70,-1,Holidays!$B$5:$B$60),IF($L70=0,$O70,WORKDAY($O70,$L70-1,Holidays!$B$5:$B$60)))</f>
        <v>46667</v>
      </c>
      <c r="Q70" s="21" t="s">
        <v>192</v>
      </c>
      <c r="R70" s="42" t="str">
        <f aca="false">IF(AND($G70="HOLD",$K70="Y"),"■ HOLD: go/no-go. ","")</f>
        <v/>
      </c>
      <c r="S70" s="43" t="s">
        <v>368</v>
      </c>
    </row>
    <row r="71" customFormat="false" ht="27.75" hidden="false" customHeight="true" outlineLevel="0" collapsed="false">
      <c r="A71" s="40" t="s">
        <v>369</v>
      </c>
      <c r="B71" s="40" t="s">
        <v>169</v>
      </c>
      <c r="C71" s="17" t="s">
        <v>370</v>
      </c>
      <c r="D71" s="40" t="s">
        <v>230</v>
      </c>
      <c r="E71" s="40" t="s">
        <v>191</v>
      </c>
      <c r="F71" s="40"/>
      <c r="G71" s="40"/>
      <c r="H71" s="21" t="n">
        <v>0</v>
      </c>
      <c r="I71" s="21" t="n">
        <v>0</v>
      </c>
      <c r="J71" s="40" t="s">
        <v>139</v>
      </c>
      <c r="K71" s="40" t="str">
        <f aca="false">IF(AND(OR($E71="Both",$E71=$C$6),OR($F71="",IFERROR(INDEX($F$5:$F$13,MATCH($F71,$E$5:$E$13,0)),"Y")="Y")),"Y","N")</f>
        <v>Y</v>
      </c>
      <c r="L71" s="40" t="n">
        <f aca="false">IF($K71="N",0,IF(IF($C$6="Auction",$H71,$I71)=0,0,ROUNDUP(IF($C$6="Auction",$H71,$I71)*(1+IF($J71="Y",$C$10,0)),0)))</f>
        <v>0</v>
      </c>
      <c r="M71" s="40" t="s">
        <v>371</v>
      </c>
      <c r="N71" s="21" t="n">
        <v>0</v>
      </c>
      <c r="O71" s="41" t="n">
        <f aca="false">MAX(WORKDAY($P$69,1+$N71,Holidays!$B$5:$B$60),WORKDAY($P$70,1+$N71,Holidays!$B$5:$B$60),WORKDAY($P$61,1+$N71,Holidays!$B$5:$B$60))</f>
        <v>46668</v>
      </c>
      <c r="P71" s="41" t="n">
        <f aca="false">IF($K71="N",WORKDAY($O71,-1,Holidays!$B$5:$B$60),IF($L71=0,$O71,WORKDAY($O71,$L71-1,Holidays!$B$5:$B$60)))</f>
        <v>46668</v>
      </c>
      <c r="Q71" s="21" t="s">
        <v>192</v>
      </c>
      <c r="R71" s="42" t="str">
        <f aca="false">IF(AND($G71="HOLD",$K71="Y"),"■ HOLD: go/no-go. ","")</f>
        <v/>
      </c>
      <c r="S71" s="43"/>
    </row>
    <row r="72" customFormat="false" ht="27.75" hidden="false" customHeight="true" outlineLevel="0" collapsed="false">
      <c r="A72" s="40" t="s">
        <v>123</v>
      </c>
      <c r="B72" s="40" t="s">
        <v>169</v>
      </c>
      <c r="C72" s="17" t="s">
        <v>372</v>
      </c>
      <c r="D72" s="40" t="s">
        <v>212</v>
      </c>
      <c r="E72" s="40" t="s">
        <v>191</v>
      </c>
      <c r="F72" s="40"/>
      <c r="G72" s="40"/>
      <c r="H72" s="21" t="n">
        <v>0</v>
      </c>
      <c r="I72" s="21" t="n">
        <v>0</v>
      </c>
      <c r="J72" s="40" t="s">
        <v>139</v>
      </c>
      <c r="K72" s="40" t="str">
        <f aca="false">IF(AND(OR($E72="Both",$E72=$C$6),OR($F72="",IFERROR(INDEX($F$5:$F$13,MATCH($F72,$E$5:$E$13,0)),"Y")="Y")),"Y","N")</f>
        <v>Y</v>
      </c>
      <c r="L72" s="40" t="n">
        <f aca="false">IF($K72="N",0,IF(IF($C$6="Auction",$H72,$I72)=0,0,ROUNDUP(IF($C$6="Auction",$H72,$I72)*(1+IF($J72="Y",$C$10,0)),0)))</f>
        <v>0</v>
      </c>
      <c r="M72" s="40" t="s">
        <v>373</v>
      </c>
      <c r="N72" s="45" t="n">
        <f aca="false">$C$15-1</f>
        <v>9</v>
      </c>
      <c r="O72" s="41" t="n">
        <f aca="false">WORKDAY($P$71,1+$N72,Holidays!$B$5:$B$60)</f>
        <v>46682</v>
      </c>
      <c r="P72" s="41" t="n">
        <f aca="false">IF($K72="N",WORKDAY($O72,-1,Holidays!$B$5:$B$60),IF($L72=0,$O72,WORKDAY($O72,$L72-1,Holidays!$B$5:$B$60)))</f>
        <v>46682</v>
      </c>
      <c r="Q72" s="21" t="s">
        <v>192</v>
      </c>
      <c r="R72" s="42" t="str">
        <f aca="false">IF(AND($G72="HOLD",$K72="Y"),"■ HOLD: go/no-go. ","")&amp;IF(($P72-$P$32)/30.44&gt;$C$13,"⚠ Sale completes after bridge term: extension cost. ","")</f>
        <v/>
      </c>
      <c r="S72" s="43" t="s">
        <v>374</v>
      </c>
    </row>
    <row r="73" customFormat="false" ht="27.75" hidden="false" customHeight="true" outlineLevel="0" collapsed="false">
      <c r="A73" s="40" t="s">
        <v>375</v>
      </c>
      <c r="B73" s="40" t="s">
        <v>169</v>
      </c>
      <c r="C73" s="17" t="s">
        <v>376</v>
      </c>
      <c r="D73" s="40" t="s">
        <v>190</v>
      </c>
      <c r="E73" s="40" t="s">
        <v>191</v>
      </c>
      <c r="F73" s="40"/>
      <c r="G73" s="40"/>
      <c r="H73" s="21" t="n">
        <v>0</v>
      </c>
      <c r="I73" s="21" t="n">
        <v>0</v>
      </c>
      <c r="J73" s="40" t="s">
        <v>139</v>
      </c>
      <c r="K73" s="40" t="str">
        <f aca="false">IF(AND(OR($E73="Both",$E73=$C$6),OR($F73="",IFERROR(INDEX($F$5:$F$13,MATCH($F73,$E$5:$E$13,0)),"Y")="Y")),"Y","N")</f>
        <v>Y</v>
      </c>
      <c r="L73" s="40" t="n">
        <f aca="false">IF($K73="N",0,IF(IF($C$6="Auction",$H73,$I73)=0,0,ROUNDUP(IF($C$6="Auction",$H73,$I73)*(1+IF($J73="Y",$C$10,0)),0)))</f>
        <v>0</v>
      </c>
      <c r="M73" s="40" t="s">
        <v>377</v>
      </c>
      <c r="N73" s="21" t="n">
        <v>60</v>
      </c>
      <c r="O73" s="41" t="n">
        <f aca="false">WORKDAY($P$63,1+$N73,Holidays!$B$5:$B$60)</f>
        <v>46651</v>
      </c>
      <c r="P73" s="41" t="n">
        <f aca="false">IF($K73="N",WORKDAY($O73,-1,Holidays!$B$5:$B$60),IF($L73=0,$O73,WORKDAY($O73,$L73-1,Holidays!$B$5:$B$60)))</f>
        <v>46651</v>
      </c>
      <c r="Q73" s="21" t="s">
        <v>192</v>
      </c>
      <c r="R73" s="42" t="str">
        <f aca="false">IF(AND($G73="HOLD",$K73="Y"),"■ HOLD: go/no-go. ","")</f>
        <v/>
      </c>
      <c r="S73" s="43" t="s">
        <v>378</v>
      </c>
    </row>
    <row r="74" customFormat="false" ht="27.75" hidden="false" customHeight="true" outlineLevel="0" collapsed="false">
      <c r="A74" s="40" t="s">
        <v>126</v>
      </c>
      <c r="B74" s="40" t="s">
        <v>169</v>
      </c>
      <c r="C74" s="17" t="s">
        <v>379</v>
      </c>
      <c r="D74" s="40" t="s">
        <v>190</v>
      </c>
      <c r="E74" s="40" t="s">
        <v>191</v>
      </c>
      <c r="F74" s="40"/>
      <c r="G74" s="40"/>
      <c r="H74" s="21" t="n">
        <v>2</v>
      </c>
      <c r="I74" s="21" t="n">
        <v>2</v>
      </c>
      <c r="J74" s="40" t="s">
        <v>139</v>
      </c>
      <c r="K74" s="40" t="str">
        <f aca="false">IF(AND(OR($E74="Both",$E74=$C$6),OR($F74="",IFERROR(INDEX($F$5:$F$13,MATCH($F74,$E$5:$E$13,0)),"Y")="Y")),"Y","N")</f>
        <v>Y</v>
      </c>
      <c r="L74" s="40" t="n">
        <f aca="false">IF($K74="N",0,IF(IF($C$6="Auction",$H74,$I74)=0,0,ROUNDUP(IF($C$6="Auction",$H74,$I74)*(1+IF($J74="Y",$C$10,0)),0)))</f>
        <v>2</v>
      </c>
      <c r="M74" s="40" t="s">
        <v>380</v>
      </c>
      <c r="N74" s="21" t="n">
        <v>0</v>
      </c>
      <c r="O74" s="41" t="n">
        <f aca="false">WORKDAY($P$72,1+$N74,Holidays!$B$5:$B$60)</f>
        <v>46685</v>
      </c>
      <c r="P74" s="41" t="n">
        <f aca="false">IF($K74="N",WORKDAY($O74,-1,Holidays!$B$5:$B$60),IF($L74=0,$O74,WORKDAY($O74,$L74-1,Holidays!$B$5:$B$60)))</f>
        <v>46686</v>
      </c>
      <c r="Q74" s="21" t="s">
        <v>192</v>
      </c>
      <c r="R74" s="42" t="str">
        <f aca="false">IF(AND($G74="HOLD",$K74="Y"),"■ HOLD: go/no-go. ","")</f>
        <v/>
      </c>
      <c r="S74" s="43" t="s">
        <v>381</v>
      </c>
    </row>
  </sheetData>
  <conditionalFormatting sqref="U21:CB74">
    <cfRule type="expression" priority="2" aboveAverage="0" equalAverage="0" bottom="0" percent="0" rank="0" text="" dxfId="4">
      <formula>AND($K21="Y",$L21=0,$O21&gt;=U$20,$O21&lt;U$20+7)</formula>
    </cfRule>
    <cfRule type="expression" priority="3" aboveAverage="0" equalAverage="0" bottom="0" percent="0" rank="0" text="" dxfId="0">
      <formula>AND($K21="Y",$L21&gt;0,$B21="A Purchase &amp; DD",$O21&lt;U$20+7,$P21&gt;=U$20)</formula>
    </cfRule>
    <cfRule type="expression" priority="4" aboveAverage="0" equalAverage="0" bottom="0" percent="0" rank="0" text="" dxfId="5">
      <formula>AND($K21="Y",$L21&gt;0,$B21="B Pre-start",$O21&lt;U$20+7,$P21&gt;=U$20)</formula>
    </cfRule>
    <cfRule type="expression" priority="5" aboveAverage="0" equalAverage="0" bottom="0" percent="0" rank="0" text="" dxfId="1">
      <formula>AND($K21="Y",$L21&gt;0,$B21="C Strip-out &amp; structure",$O21&lt;U$20+7,$P21&gt;=U$20)</formula>
    </cfRule>
    <cfRule type="expression" priority="6" aboveAverage="0" equalAverage="0" bottom="0" percent="0" rank="0" text="" dxfId="6">
      <formula>AND($K21="Y",$L21&gt;0,$B21="D First fix",$O21&lt;U$20+7,$P21&gt;=U$20)</formula>
    </cfRule>
    <cfRule type="expression" priority="7" aboveAverage="0" equalAverage="0" bottom="0" percent="0" rank="0" text="" dxfId="7">
      <formula>AND($K21="Y",$L21&gt;0,$B21="E Plaster",$O21&lt;U$20+7,$P21&gt;=U$20)</formula>
    </cfRule>
    <cfRule type="expression" priority="8" aboveAverage="0" equalAverage="0" bottom="0" percent="0" rank="0" text="" dxfId="8">
      <formula>AND($K21="Y",$L21&gt;0,$B21="F Second fix &amp; finish",$O21&lt;U$20+7,$P21&gt;=U$20)</formula>
    </cfRule>
    <cfRule type="expression" priority="9" aboveAverage="0" equalAverage="0" bottom="0" percent="0" rank="0" text="" dxfId="9">
      <formula>AND($K21="Y",$L21&gt;0,$B21="G Sign-off",$O21&lt;U$20+7,$P21&gt;=U$20)</formula>
    </cfRule>
    <cfRule type="expression" priority="10" aboveAverage="0" equalAverage="0" bottom="0" percent="0" rank="0" text="" dxfId="2">
      <formula>AND($K21="Y",$L21&gt;0,$B21="H Sale &amp; close-out",$O21&lt;U$20+7,$P21&gt;=U$20)</formula>
    </cfRule>
    <cfRule type="expression" priority="11" aboveAverage="0" equalAverage="0" bottom="0" percent="0" rank="0" text="" dxfId="10">
      <formula>AND(TODAY()&gt;=U$20,TODAY()&lt;U$20+7)</formula>
    </cfRule>
  </conditionalFormatting>
  <conditionalFormatting sqref="U20:CB20">
    <cfRule type="expression" priority="12" aboveAverage="0" equalAverage="0" bottom="0" percent="0" rank="0" text="" dxfId="11">
      <formula>AND(TODAY()&gt;=U$20,TODAY()&lt;U$20+7)</formula>
    </cfRule>
  </conditionalFormatting>
  <conditionalFormatting sqref="A21:S74">
    <cfRule type="expression" priority="13" aboveAverage="0" equalAverage="0" bottom="0" percent="0" rank="0" text="" dxfId="12">
      <formula>$K21="N"</formula>
    </cfRule>
  </conditionalFormatting>
  <conditionalFormatting sqref="A21:G74">
    <cfRule type="expression" priority="14" aboveAverage="0" equalAverage="0" bottom="0" percent="0" rank="0" text="" dxfId="13">
      <formula>$G21="HOLD"</formula>
    </cfRule>
  </conditionalFormatting>
  <conditionalFormatting sqref="Q21:Q74">
    <cfRule type="expression" priority="15" aboveAverage="0" equalAverage="0" bottom="0" percent="0" rank="0" text="" dxfId="14">
      <formula>$Q21="Done"</formula>
    </cfRule>
    <cfRule type="expression" priority="16" aboveAverage="0" equalAverage="0" bottom="0" percent="0" rank="0" text="" dxfId="15">
      <formula>$Q21="Delayed"</formula>
    </cfRule>
  </conditionalFormatting>
  <dataValidations count="4">
    <dataValidation allowBlank="false" errorStyle="stop" operator="between" showDropDown="false" showErrorMessage="false" showInputMessage="false" sqref="C6" type="list">
      <formula1>"Auction,Estate agent"</formula1>
      <formula2>0</formula2>
    </dataValidation>
    <dataValidation allowBlank="false" errorStyle="stop" operator="between" showDropDown="false" showErrorMessage="false" showInputMessage="false" sqref="F5:F13 J21:J74" type="list">
      <formula1>"Y,N"</formula1>
      <formula2>0</formula2>
    </dataValidation>
    <dataValidation allowBlank="true" errorStyle="stop" operator="between" showDropDown="false" showErrorMessage="false" showInputMessage="false" sqref="Q21:Q74" type="list">
      <formula1>"Not started,In progress,Done,Delayed"</formula1>
      <formula2>0</formula2>
    </dataValidation>
    <dataValidation allowBlank="false" errorStyle="stop" operator="greaterThan" showDropDown="false" showErrorMessage="false" showInputMessage="false" sqref="C7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19.7" hidden="false" customHeight="false" outlineLevel="0" collapsed="false">
      <c r="A1" s="1" t="s">
        <v>385</v>
      </c>
    </row>
    <row r="2" customFormat="false" ht="15" hidden="false" customHeight="false" outlineLevel="0" collapsed="false">
      <c r="A2" s="4" t="s">
        <v>386</v>
      </c>
    </row>
    <row r="4" customFormat="false" ht="15" hidden="false" customHeight="false" outlineLevel="0" collapsed="false">
      <c r="A4" s="46" t="s">
        <v>387</v>
      </c>
      <c r="B4" s="46" t="s">
        <v>388</v>
      </c>
    </row>
    <row r="5" customFormat="false" ht="15" hidden="false" customHeight="false" outlineLevel="0" collapsed="false">
      <c r="A5" s="15" t="s">
        <v>389</v>
      </c>
      <c r="B5" s="47" t="n">
        <v>46381</v>
      </c>
    </row>
    <row r="6" customFormat="false" ht="15" hidden="false" customHeight="false" outlineLevel="0" collapsed="false">
      <c r="A6" s="15" t="s">
        <v>389</v>
      </c>
      <c r="B6" s="47" t="n">
        <v>46384</v>
      </c>
    </row>
    <row r="7" customFormat="false" ht="15" hidden="false" customHeight="false" outlineLevel="0" collapsed="false">
      <c r="A7" s="15" t="s">
        <v>390</v>
      </c>
      <c r="B7" s="48" t="n">
        <v>46385</v>
      </c>
    </row>
    <row r="8" customFormat="false" ht="15" hidden="false" customHeight="false" outlineLevel="0" collapsed="false">
      <c r="A8" s="15" t="s">
        <v>390</v>
      </c>
      <c r="B8" s="48" t="n">
        <v>46386</v>
      </c>
    </row>
    <row r="9" customFormat="false" ht="15" hidden="false" customHeight="false" outlineLevel="0" collapsed="false">
      <c r="A9" s="15" t="s">
        <v>390</v>
      </c>
      <c r="B9" s="48" t="n">
        <v>46387</v>
      </c>
    </row>
    <row r="10" customFormat="false" ht="15" hidden="false" customHeight="false" outlineLevel="0" collapsed="false">
      <c r="A10" s="15" t="s">
        <v>391</v>
      </c>
      <c r="B10" s="47" t="n">
        <v>46388</v>
      </c>
    </row>
    <row r="11" customFormat="false" ht="15" hidden="false" customHeight="false" outlineLevel="0" collapsed="false">
      <c r="A11" s="15" t="s">
        <v>392</v>
      </c>
      <c r="B11" s="47" t="n">
        <v>46472</v>
      </c>
    </row>
    <row r="12" customFormat="false" ht="15" hidden="false" customHeight="false" outlineLevel="0" collapsed="false">
      <c r="A12" s="15" t="s">
        <v>393</v>
      </c>
      <c r="B12" s="47" t="n">
        <v>46475</v>
      </c>
    </row>
    <row r="13" customFormat="false" ht="15" hidden="false" customHeight="false" outlineLevel="0" collapsed="false">
      <c r="A13" s="15" t="s">
        <v>394</v>
      </c>
      <c r="B13" s="47" t="n">
        <v>46510</v>
      </c>
    </row>
    <row r="14" customFormat="false" ht="15" hidden="false" customHeight="false" outlineLevel="0" collapsed="false">
      <c r="A14" s="15" t="s">
        <v>395</v>
      </c>
      <c r="B14" s="47" t="n">
        <v>46538</v>
      </c>
    </row>
    <row r="15" customFormat="false" ht="15" hidden="false" customHeight="false" outlineLevel="0" collapsed="false">
      <c r="A15" s="15" t="s">
        <v>396</v>
      </c>
      <c r="B15" s="47" t="n">
        <v>46629</v>
      </c>
    </row>
    <row r="16" customFormat="false" ht="15" hidden="false" customHeight="false" outlineLevel="0" collapsed="false">
      <c r="A16" s="15" t="s">
        <v>389</v>
      </c>
      <c r="B16" s="47" t="n">
        <v>46748</v>
      </c>
    </row>
    <row r="17" customFormat="false" ht="15" hidden="false" customHeight="false" outlineLevel="0" collapsed="false">
      <c r="A17" s="15" t="s">
        <v>389</v>
      </c>
      <c r="B17" s="47" t="n">
        <v>46749</v>
      </c>
    </row>
    <row r="18" customFormat="false" ht="15" hidden="false" customHeight="false" outlineLevel="0" collapsed="false">
      <c r="A18" s="15" t="s">
        <v>390</v>
      </c>
      <c r="B18" s="48" t="n">
        <v>46750</v>
      </c>
    </row>
    <row r="19" customFormat="false" ht="15" hidden="false" customHeight="false" outlineLevel="0" collapsed="false">
      <c r="A19" s="15" t="s">
        <v>390</v>
      </c>
      <c r="B19" s="48" t="n">
        <v>46751</v>
      </c>
    </row>
    <row r="20" customFormat="false" ht="15" hidden="false" customHeight="false" outlineLevel="0" collapsed="false">
      <c r="A20" s="15" t="s">
        <v>390</v>
      </c>
      <c r="B20" s="48" t="n">
        <v>46752</v>
      </c>
    </row>
    <row r="21" customFormat="false" ht="15" hidden="false" customHeight="false" outlineLevel="0" collapsed="false">
      <c r="A21" s="15" t="s">
        <v>391</v>
      </c>
      <c r="B21" s="47" t="n">
        <v>46755</v>
      </c>
    </row>
    <row r="22" customFormat="false" ht="15" hidden="false" customHeight="false" outlineLevel="0" collapsed="false">
      <c r="A22" s="15" t="s">
        <v>392</v>
      </c>
      <c r="B22" s="47" t="n">
        <v>46857</v>
      </c>
    </row>
    <row r="23" customFormat="false" ht="15" hidden="false" customHeight="false" outlineLevel="0" collapsed="false">
      <c r="A23" s="15" t="s">
        <v>393</v>
      </c>
      <c r="B23" s="47" t="n">
        <v>46860</v>
      </c>
    </row>
    <row r="24" customFormat="false" ht="15" hidden="false" customHeight="false" outlineLevel="0" collapsed="false">
      <c r="A24" s="15" t="s">
        <v>394</v>
      </c>
      <c r="B24" s="47" t="n">
        <v>46874</v>
      </c>
    </row>
    <row r="25" customFormat="false" ht="15" hidden="false" customHeight="false" outlineLevel="0" collapsed="false">
      <c r="A25" s="15" t="s">
        <v>395</v>
      </c>
      <c r="B25" s="47" t="n">
        <v>46902</v>
      </c>
    </row>
    <row r="26" customFormat="false" ht="15" hidden="false" customHeight="false" outlineLevel="0" collapsed="false">
      <c r="A26" s="15" t="s">
        <v>396</v>
      </c>
      <c r="B26" s="47" t="n">
        <v>46993</v>
      </c>
    </row>
    <row r="27" customFormat="false" ht="15" hidden="false" customHeight="false" outlineLevel="0" collapsed="false">
      <c r="A27" s="15" t="s">
        <v>389</v>
      </c>
      <c r="B27" s="47" t="n">
        <v>47112</v>
      </c>
    </row>
    <row r="28" customFormat="false" ht="15" hidden="false" customHeight="false" outlineLevel="0" collapsed="false">
      <c r="A28" s="15" t="s">
        <v>389</v>
      </c>
      <c r="B28" s="47" t="n">
        <v>47113</v>
      </c>
    </row>
    <row r="29" customFormat="false" ht="15" hidden="false" customHeight="false" outlineLevel="0" collapsed="false">
      <c r="B29" s="48"/>
    </row>
    <row r="30" customFormat="false" ht="15" hidden="false" customHeight="false" outlineLevel="0" collapsed="false">
      <c r="B30" s="48"/>
    </row>
    <row r="31" customFormat="false" ht="15" hidden="false" customHeight="false" outlineLevel="0" collapsed="false">
      <c r="B31" s="48"/>
    </row>
    <row r="32" customFormat="false" ht="15" hidden="false" customHeight="false" outlineLevel="0" collapsed="false">
      <c r="B32" s="48"/>
    </row>
    <row r="33" customFormat="false" ht="15" hidden="false" customHeight="false" outlineLevel="0" collapsed="false">
      <c r="B33" s="48"/>
    </row>
    <row r="34" customFormat="false" ht="15" hidden="false" customHeight="false" outlineLevel="0" collapsed="false">
      <c r="B34" s="48"/>
    </row>
    <row r="35" customFormat="false" ht="15" hidden="false" customHeight="false" outlineLevel="0" collapsed="false">
      <c r="B35" s="48"/>
    </row>
    <row r="36" customFormat="false" ht="15" hidden="false" customHeight="false" outlineLevel="0" collapsed="false">
      <c r="B36" s="48"/>
    </row>
    <row r="37" customFormat="false" ht="15" hidden="false" customHeight="false" outlineLevel="0" collapsed="false">
      <c r="B37" s="48"/>
    </row>
    <row r="38" customFormat="false" ht="15" hidden="false" customHeight="false" outlineLevel="0" collapsed="false">
      <c r="B38" s="48"/>
    </row>
    <row r="39" customFormat="false" ht="15" hidden="false" customHeight="false" outlineLevel="0" collapsed="false">
      <c r="B39" s="48"/>
    </row>
    <row r="40" customFormat="false" ht="15" hidden="false" customHeight="false" outlineLevel="0" collapsed="false">
      <c r="B40" s="48"/>
    </row>
    <row r="41" customFormat="false" ht="15" hidden="false" customHeight="false" outlineLevel="0" collapsed="false">
      <c r="B41" s="48"/>
    </row>
    <row r="42" customFormat="false" ht="15" hidden="false" customHeight="false" outlineLevel="0" collapsed="false">
      <c r="B42" s="48"/>
    </row>
    <row r="43" customFormat="false" ht="15" hidden="false" customHeight="false" outlineLevel="0" collapsed="false">
      <c r="B43" s="48"/>
    </row>
    <row r="44" customFormat="false" ht="15" hidden="false" customHeight="false" outlineLevel="0" collapsed="false">
      <c r="B44" s="48"/>
    </row>
    <row r="45" customFormat="false" ht="15" hidden="false" customHeight="false" outlineLevel="0" collapsed="false">
      <c r="B45" s="48"/>
    </row>
    <row r="46" customFormat="false" ht="15" hidden="false" customHeight="false" outlineLevel="0" collapsed="false">
      <c r="B46" s="48"/>
    </row>
    <row r="47" customFormat="false" ht="15" hidden="false" customHeight="false" outlineLevel="0" collapsed="false">
      <c r="B47" s="48"/>
    </row>
    <row r="48" customFormat="false" ht="15" hidden="false" customHeight="false" outlineLevel="0" collapsed="false">
      <c r="B48" s="48"/>
    </row>
    <row r="49" customFormat="false" ht="15" hidden="false" customHeight="false" outlineLevel="0" collapsed="false">
      <c r="B49" s="48"/>
    </row>
    <row r="50" customFormat="false" ht="15" hidden="false" customHeight="false" outlineLevel="0" collapsed="false">
      <c r="B50" s="48"/>
    </row>
    <row r="51" customFormat="false" ht="15" hidden="false" customHeight="false" outlineLevel="0" collapsed="false">
      <c r="B51" s="48"/>
    </row>
    <row r="52" customFormat="false" ht="15" hidden="false" customHeight="false" outlineLevel="0" collapsed="false">
      <c r="B52" s="48"/>
    </row>
    <row r="53" customFormat="false" ht="15" hidden="false" customHeight="false" outlineLevel="0" collapsed="false">
      <c r="B53" s="48"/>
    </row>
    <row r="54" customFormat="false" ht="15" hidden="false" customHeight="false" outlineLevel="0" collapsed="false">
      <c r="B54" s="48"/>
    </row>
    <row r="55" customFormat="false" ht="15" hidden="false" customHeight="false" outlineLevel="0" collapsed="false">
      <c r="B55" s="48"/>
    </row>
    <row r="56" customFormat="false" ht="15" hidden="false" customHeight="false" outlineLevel="0" collapsed="false">
      <c r="B56" s="48"/>
    </row>
    <row r="57" customFormat="false" ht="15" hidden="false" customHeight="false" outlineLevel="0" collapsed="false">
      <c r="B57" s="48"/>
    </row>
    <row r="58" customFormat="false" ht="15" hidden="false" customHeight="false" outlineLevel="0" collapsed="false">
      <c r="B58" s="48"/>
    </row>
    <row r="59" customFormat="false" ht="15" hidden="false" customHeight="false" outlineLevel="0" collapsed="false">
      <c r="B59" s="48"/>
    </row>
    <row r="60" customFormat="false" ht="15" hidden="false" customHeight="false" outlineLevel="0" collapsed="false">
      <c r="B60" s="4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2026-10-16T08:04:57Z</dcterms:created>
  <dc:creator>openpyxl</dc:creator>
  <dc:description/>
  <dc:language>en-US</dc:language>
  <cp:lastModifiedBy/>
  <dcterms:modified xsi:type="dcterms:W3CDTF">2026-10-16T08:04:57Z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